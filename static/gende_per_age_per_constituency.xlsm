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<sst xmlns="http://schemas.openxmlformats.org/spreadsheetml/2006/main" count="1187" uniqueCount="648">
  <si>
    <t xml:space="preserve">COUNTY CODE</t>
  </si>
  <si>
    <t xml:space="preserve">COUNTY</t>
  </si>
  <si>
    <t xml:space="preserve">CONST CODE</t>
  </si>
  <si>
    <t xml:space="preserve">CONSTITUENCY</t>
  </si>
  <si>
    <t xml:space="preserve">18 to 24 YRS(F)</t>
  </si>
  <si>
    <t xml:space="preserve">18 to 24 YRS(M)</t>
  </si>
  <si>
    <t xml:space="preserve">25 TO 35 YRS(F)</t>
  </si>
  <si>
    <t xml:space="preserve">25 TO 35 YRS(M)</t>
  </si>
  <si>
    <t xml:space="preserve">36 TO 45 YRS(F)</t>
  </si>
  <si>
    <t xml:space="preserve">36 TO 45 YRS(M)</t>
  </si>
  <si>
    <t xml:space="preserve">46 TO 55 YRS(F)</t>
  </si>
  <si>
    <t xml:space="preserve">46 TO 55 YRS(M)</t>
  </si>
  <si>
    <t xml:space="preserve">OVER 55 YRS(F)</t>
  </si>
  <si>
    <t xml:space="preserve">OVER 55 YRS(M)</t>
  </si>
  <si>
    <t xml:space="preserve">TOTAL FEMALE</t>
  </si>
  <si>
    <t xml:space="preserve">TOTAL MALE</t>
  </si>
  <si>
    <t xml:space="preserve">TOTAL VOTERS</t>
  </si>
  <si>
    <t xml:space="preserve">% FEMALE</t>
  </si>
  <si>
    <t xml:space="preserve">% MALE</t>
  </si>
  <si>
    <t xml:space="preserve">001</t>
  </si>
  <si>
    <t xml:space="preserve">MOMBASA</t>
  </si>
  <si>
    <t xml:space="preserve">CHANGAMWE</t>
  </si>
  <si>
    <t xml:space="preserve">002</t>
  </si>
  <si>
    <t xml:space="preserve">JOMVU</t>
  </si>
  <si>
    <t xml:space="preserve">003</t>
  </si>
  <si>
    <t xml:space="preserve">KISAUNI</t>
  </si>
  <si>
    <t xml:space="preserve">004</t>
  </si>
  <si>
    <t xml:space="preserve">NYALI</t>
  </si>
  <si>
    <t xml:space="preserve">005</t>
  </si>
  <si>
    <t xml:space="preserve">LIKONI</t>
  </si>
  <si>
    <t xml:space="preserve">006</t>
  </si>
  <si>
    <t xml:space="preserve">MVITA</t>
  </si>
  <si>
    <t xml:space="preserve">KWALE</t>
  </si>
  <si>
    <t xml:space="preserve">007</t>
  </si>
  <si>
    <t xml:space="preserve">MSAMBWENI</t>
  </si>
  <si>
    <t xml:space="preserve">008</t>
  </si>
  <si>
    <t xml:space="preserve">LUNGALUNGA</t>
  </si>
  <si>
    <t xml:space="preserve">009</t>
  </si>
  <si>
    <t xml:space="preserve">MATUGA</t>
  </si>
  <si>
    <t xml:space="preserve">010</t>
  </si>
  <si>
    <t xml:space="preserve">KINANGO</t>
  </si>
  <si>
    <t xml:space="preserve">KILIFI</t>
  </si>
  <si>
    <t xml:space="preserve">011</t>
  </si>
  <si>
    <t xml:space="preserve">KILIFI NORTH</t>
  </si>
  <si>
    <t xml:space="preserve">012</t>
  </si>
  <si>
    <t xml:space="preserve">KILIFI SOUTH</t>
  </si>
  <si>
    <t xml:space="preserve">013</t>
  </si>
  <si>
    <t xml:space="preserve">KALOLENI</t>
  </si>
  <si>
    <t xml:space="preserve">014</t>
  </si>
  <si>
    <t xml:space="preserve">RABAI</t>
  </si>
  <si>
    <t xml:space="preserve">015</t>
  </si>
  <si>
    <t xml:space="preserve">GANZE</t>
  </si>
  <si>
    <t xml:space="preserve">016</t>
  </si>
  <si>
    <t xml:space="preserve">MALINDI</t>
  </si>
  <si>
    <t xml:space="preserve">017</t>
  </si>
  <si>
    <t xml:space="preserve">MAGARINI</t>
  </si>
  <si>
    <t xml:space="preserve">TANA RIVER</t>
  </si>
  <si>
    <t xml:space="preserve">018</t>
  </si>
  <si>
    <t xml:space="preserve">GARSEN</t>
  </si>
  <si>
    <t xml:space="preserve">019</t>
  </si>
  <si>
    <t xml:space="preserve">GALOLE</t>
  </si>
  <si>
    <t xml:space="preserve">020</t>
  </si>
  <si>
    <t xml:space="preserve">BURA</t>
  </si>
  <si>
    <t xml:space="preserve">LAMU</t>
  </si>
  <si>
    <t xml:space="preserve">021</t>
  </si>
  <si>
    <t xml:space="preserve">LAMU EAST</t>
  </si>
  <si>
    <t xml:space="preserve">022</t>
  </si>
  <si>
    <t xml:space="preserve">LAMU WEST</t>
  </si>
  <si>
    <t xml:space="preserve">TAITA TAVETA</t>
  </si>
  <si>
    <t xml:space="preserve">023</t>
  </si>
  <si>
    <t xml:space="preserve">TAVETA</t>
  </si>
  <si>
    <t xml:space="preserve">024</t>
  </si>
  <si>
    <t xml:space="preserve">WUNDANYI</t>
  </si>
  <si>
    <t xml:space="preserve">025</t>
  </si>
  <si>
    <t xml:space="preserve">MWATATE</t>
  </si>
  <si>
    <t xml:space="preserve">026</t>
  </si>
  <si>
    <t xml:space="preserve">VOI</t>
  </si>
  <si>
    <t xml:space="preserve">GARISSA</t>
  </si>
  <si>
    <t xml:space="preserve">027</t>
  </si>
  <si>
    <t xml:space="preserve">GARISSA TOWNSHIP</t>
  </si>
  <si>
    <t xml:space="preserve">028</t>
  </si>
  <si>
    <t xml:space="preserve">BALAMBALA</t>
  </si>
  <si>
    <t xml:space="preserve">029</t>
  </si>
  <si>
    <t xml:space="preserve">LAGDERA</t>
  </si>
  <si>
    <t xml:space="preserve">030</t>
  </si>
  <si>
    <t xml:space="preserve">DADAAB</t>
  </si>
  <si>
    <t xml:space="preserve">031</t>
  </si>
  <si>
    <t xml:space="preserve">FAFI</t>
  </si>
  <si>
    <t xml:space="preserve">032</t>
  </si>
  <si>
    <t xml:space="preserve">IJARA</t>
  </si>
  <si>
    <t xml:space="preserve">WAJIR</t>
  </si>
  <si>
    <t xml:space="preserve">033</t>
  </si>
  <si>
    <t xml:space="preserve">WAJIR NORTH</t>
  </si>
  <si>
    <t xml:space="preserve">034</t>
  </si>
  <si>
    <t xml:space="preserve">WAJIR EAST</t>
  </si>
  <si>
    <t xml:space="preserve">035</t>
  </si>
  <si>
    <t xml:space="preserve">TARBAJ</t>
  </si>
  <si>
    <t xml:space="preserve">036</t>
  </si>
  <si>
    <t xml:space="preserve">WAJIR WEST</t>
  </si>
  <si>
    <t xml:space="preserve">037</t>
  </si>
  <si>
    <t xml:space="preserve">ELDAS</t>
  </si>
  <si>
    <t xml:space="preserve">038</t>
  </si>
  <si>
    <t xml:space="preserve">WAJIR SOUTH</t>
  </si>
  <si>
    <t xml:space="preserve">MANDERA</t>
  </si>
  <si>
    <t xml:space="preserve">039</t>
  </si>
  <si>
    <t xml:space="preserve">MANDERA WEST</t>
  </si>
  <si>
    <t xml:space="preserve">040</t>
  </si>
  <si>
    <t xml:space="preserve">BANISSA</t>
  </si>
  <si>
    <t xml:space="preserve">041</t>
  </si>
  <si>
    <t xml:space="preserve">MANDERA NORTH</t>
  </si>
  <si>
    <t xml:space="preserve">042</t>
  </si>
  <si>
    <t xml:space="preserve">MANDERA SOUTH</t>
  </si>
  <si>
    <t xml:space="preserve">043</t>
  </si>
  <si>
    <t xml:space="preserve">MANDERA EAST</t>
  </si>
  <si>
    <t xml:space="preserve">044</t>
  </si>
  <si>
    <t xml:space="preserve">LAFEY</t>
  </si>
  <si>
    <t xml:space="preserve">MARSABIT</t>
  </si>
  <si>
    <t xml:space="preserve">045</t>
  </si>
  <si>
    <t xml:space="preserve">MOYALE</t>
  </si>
  <si>
    <t xml:space="preserve">046</t>
  </si>
  <si>
    <t xml:space="preserve">NORTH HORR</t>
  </si>
  <si>
    <t xml:space="preserve">047</t>
  </si>
  <si>
    <t xml:space="preserve">SAKU</t>
  </si>
  <si>
    <t xml:space="preserve">048</t>
  </si>
  <si>
    <t xml:space="preserve">LAISAMIS</t>
  </si>
  <si>
    <t xml:space="preserve">ISIOLO</t>
  </si>
  <si>
    <t xml:space="preserve">049</t>
  </si>
  <si>
    <t xml:space="preserve">ISIOLO NORTH</t>
  </si>
  <si>
    <t xml:space="preserve">050</t>
  </si>
  <si>
    <t xml:space="preserve">ISIOLO SOUTH</t>
  </si>
  <si>
    <t xml:space="preserve">MERU</t>
  </si>
  <si>
    <t xml:space="preserve">051</t>
  </si>
  <si>
    <t xml:space="preserve">IGEMBE SOUTH</t>
  </si>
  <si>
    <t xml:space="preserve">052</t>
  </si>
  <si>
    <t xml:space="preserve">IGEMBE CENTRAL</t>
  </si>
  <si>
    <t xml:space="preserve">053</t>
  </si>
  <si>
    <t xml:space="preserve">IGEMBE NORTH</t>
  </si>
  <si>
    <t xml:space="preserve">054</t>
  </si>
  <si>
    <t xml:space="preserve">TIGANIA WEST</t>
  </si>
  <si>
    <t xml:space="preserve">055</t>
  </si>
  <si>
    <t xml:space="preserve">TIGANIA EAST</t>
  </si>
  <si>
    <t xml:space="preserve">056</t>
  </si>
  <si>
    <t xml:space="preserve">NORTH IMENTI</t>
  </si>
  <si>
    <t xml:space="preserve">057</t>
  </si>
  <si>
    <t xml:space="preserve">BUURI</t>
  </si>
  <si>
    <t xml:space="preserve">058</t>
  </si>
  <si>
    <t xml:space="preserve">CENTRAL IMENTI</t>
  </si>
  <si>
    <t xml:space="preserve">059</t>
  </si>
  <si>
    <t xml:space="preserve">SOUTH IMENTI</t>
  </si>
  <si>
    <t xml:space="preserve">THARAKA - NITHI</t>
  </si>
  <si>
    <t xml:space="preserve">060</t>
  </si>
  <si>
    <t xml:space="preserve">MAARA</t>
  </si>
  <si>
    <t xml:space="preserve">061</t>
  </si>
  <si>
    <t xml:space="preserve">CHUKA/IGAMBANG'OMBE</t>
  </si>
  <si>
    <t xml:space="preserve">062</t>
  </si>
  <si>
    <t xml:space="preserve">THARAKA</t>
  </si>
  <si>
    <t xml:space="preserve">EMBU</t>
  </si>
  <si>
    <t xml:space="preserve">063</t>
  </si>
  <si>
    <t xml:space="preserve">MANYATTA</t>
  </si>
  <si>
    <t xml:space="preserve">064</t>
  </si>
  <si>
    <t xml:space="preserve">RUNYENJES</t>
  </si>
  <si>
    <t xml:space="preserve">065</t>
  </si>
  <si>
    <t xml:space="preserve">MBEERE SOUTH</t>
  </si>
  <si>
    <t xml:space="preserve">066</t>
  </si>
  <si>
    <t xml:space="preserve">MBEERE NORTH</t>
  </si>
  <si>
    <t xml:space="preserve">KITUI</t>
  </si>
  <si>
    <t xml:space="preserve">067</t>
  </si>
  <si>
    <t xml:space="preserve">MWINGI NORTH</t>
  </si>
  <si>
    <t xml:space="preserve">068</t>
  </si>
  <si>
    <t xml:space="preserve">MWINGI WEST</t>
  </si>
  <si>
    <t xml:space="preserve">069</t>
  </si>
  <si>
    <t xml:space="preserve">MWINGI CENTRAL</t>
  </si>
  <si>
    <t xml:space="preserve">070</t>
  </si>
  <si>
    <t xml:space="preserve">KITUI WEST</t>
  </si>
  <si>
    <t xml:space="preserve">071</t>
  </si>
  <si>
    <t xml:space="preserve">KITUI RURAL</t>
  </si>
  <si>
    <t xml:space="preserve">072</t>
  </si>
  <si>
    <t xml:space="preserve">KITUI CENTRAL</t>
  </si>
  <si>
    <t xml:space="preserve">073</t>
  </si>
  <si>
    <t xml:space="preserve">KITUI EAST</t>
  </si>
  <si>
    <t xml:space="preserve">074</t>
  </si>
  <si>
    <t xml:space="preserve">KITUI SOUTH</t>
  </si>
  <si>
    <t xml:space="preserve">MACHAKOS</t>
  </si>
  <si>
    <t xml:space="preserve">075</t>
  </si>
  <si>
    <t xml:space="preserve">MASINGA</t>
  </si>
  <si>
    <t xml:space="preserve">076</t>
  </si>
  <si>
    <t xml:space="preserve">YATTA</t>
  </si>
  <si>
    <t xml:space="preserve">077</t>
  </si>
  <si>
    <t xml:space="preserve">KANGUNDO</t>
  </si>
  <si>
    <t xml:space="preserve">078</t>
  </si>
  <si>
    <t xml:space="preserve">MATUNGULU</t>
  </si>
  <si>
    <t xml:space="preserve">079</t>
  </si>
  <si>
    <t xml:space="preserve">KATHIANI</t>
  </si>
  <si>
    <t xml:space="preserve">080</t>
  </si>
  <si>
    <t xml:space="preserve">MAVOKO</t>
  </si>
  <si>
    <t xml:space="preserve">081</t>
  </si>
  <si>
    <t xml:space="preserve">MACHAKOS TOWN</t>
  </si>
  <si>
    <t xml:space="preserve">082</t>
  </si>
  <si>
    <t xml:space="preserve">MWALA</t>
  </si>
  <si>
    <t xml:space="preserve">MAKUENI</t>
  </si>
  <si>
    <t xml:space="preserve">083</t>
  </si>
  <si>
    <t xml:space="preserve">MBOONI</t>
  </si>
  <si>
    <t xml:space="preserve">084</t>
  </si>
  <si>
    <t xml:space="preserve">KILOME</t>
  </si>
  <si>
    <t xml:space="preserve">085</t>
  </si>
  <si>
    <t xml:space="preserve">KAITI</t>
  </si>
  <si>
    <t xml:space="preserve">086</t>
  </si>
  <si>
    <t xml:space="preserve">087</t>
  </si>
  <si>
    <t xml:space="preserve">KIBWEZI WEST</t>
  </si>
  <si>
    <t xml:space="preserve">088</t>
  </si>
  <si>
    <t xml:space="preserve">KIBWEZI EAST</t>
  </si>
  <si>
    <t xml:space="preserve">NYANDARUA</t>
  </si>
  <si>
    <t xml:space="preserve">089</t>
  </si>
  <si>
    <t xml:space="preserve">KINANGOP</t>
  </si>
  <si>
    <t xml:space="preserve">090</t>
  </si>
  <si>
    <t xml:space="preserve">KIPIPIRI</t>
  </si>
  <si>
    <t xml:space="preserve">091</t>
  </si>
  <si>
    <t xml:space="preserve">OL KALOU</t>
  </si>
  <si>
    <t xml:space="preserve">092</t>
  </si>
  <si>
    <t xml:space="preserve">OL JOROK</t>
  </si>
  <si>
    <t xml:space="preserve">093</t>
  </si>
  <si>
    <t xml:space="preserve">NDARAGWA</t>
  </si>
  <si>
    <t xml:space="preserve">NYERI</t>
  </si>
  <si>
    <t xml:space="preserve">094</t>
  </si>
  <si>
    <t xml:space="preserve">TETU</t>
  </si>
  <si>
    <t xml:space="preserve">095</t>
  </si>
  <si>
    <t xml:space="preserve">KIENI</t>
  </si>
  <si>
    <t xml:space="preserve">096</t>
  </si>
  <si>
    <t xml:space="preserve">MATHIRA</t>
  </si>
  <si>
    <t xml:space="preserve">097</t>
  </si>
  <si>
    <t xml:space="preserve">OTHAYA</t>
  </si>
  <si>
    <t xml:space="preserve">098</t>
  </si>
  <si>
    <t xml:space="preserve">MUKURWEINI</t>
  </si>
  <si>
    <t xml:space="preserve">099</t>
  </si>
  <si>
    <t xml:space="preserve">NYERI TOWN</t>
  </si>
  <si>
    <t xml:space="preserve">KIRINYAGA</t>
  </si>
  <si>
    <t xml:space="preserve">100</t>
  </si>
  <si>
    <t xml:space="preserve">MWEA</t>
  </si>
  <si>
    <t xml:space="preserve">101</t>
  </si>
  <si>
    <t xml:space="preserve">GICHUGU</t>
  </si>
  <si>
    <t xml:space="preserve">102</t>
  </si>
  <si>
    <t xml:space="preserve">NDIA</t>
  </si>
  <si>
    <t xml:space="preserve">103</t>
  </si>
  <si>
    <t xml:space="preserve">KIRINYAGA CENTRAL</t>
  </si>
  <si>
    <t xml:space="preserve">MURANG'A</t>
  </si>
  <si>
    <t xml:space="preserve">104</t>
  </si>
  <si>
    <t xml:space="preserve">KANGEMA</t>
  </si>
  <si>
    <t xml:space="preserve">105</t>
  </si>
  <si>
    <t xml:space="preserve">MATHIOYA</t>
  </si>
  <si>
    <t xml:space="preserve">106</t>
  </si>
  <si>
    <t xml:space="preserve">KIHARU</t>
  </si>
  <si>
    <t xml:space="preserve">107</t>
  </si>
  <si>
    <t xml:space="preserve">KIGUMO</t>
  </si>
  <si>
    <t xml:space="preserve">108</t>
  </si>
  <si>
    <t xml:space="preserve">MARAGWA</t>
  </si>
  <si>
    <t xml:space="preserve">109</t>
  </si>
  <si>
    <t xml:space="preserve">KANDARA</t>
  </si>
  <si>
    <t xml:space="preserve">110</t>
  </si>
  <si>
    <t xml:space="preserve">GATANGA</t>
  </si>
  <si>
    <t xml:space="preserve">KIAMBU</t>
  </si>
  <si>
    <t xml:space="preserve">111</t>
  </si>
  <si>
    <t xml:space="preserve">GATUNDU SOUTH</t>
  </si>
  <si>
    <t xml:space="preserve">112</t>
  </si>
  <si>
    <t xml:space="preserve">GATUNDU NORTH</t>
  </si>
  <si>
    <t xml:space="preserve">113</t>
  </si>
  <si>
    <t xml:space="preserve">JUJA</t>
  </si>
  <si>
    <t xml:space="preserve">114</t>
  </si>
  <si>
    <t xml:space="preserve">THIKA TOWN</t>
  </si>
  <si>
    <t xml:space="preserve">115</t>
  </si>
  <si>
    <t xml:space="preserve">RUIRU</t>
  </si>
  <si>
    <t xml:space="preserve">116</t>
  </si>
  <si>
    <t xml:space="preserve">GITHUNGURI</t>
  </si>
  <si>
    <t xml:space="preserve">117</t>
  </si>
  <si>
    <t xml:space="preserve">118</t>
  </si>
  <si>
    <t xml:space="preserve">KIAMBAA</t>
  </si>
  <si>
    <t xml:space="preserve">119</t>
  </si>
  <si>
    <t xml:space="preserve">KABETE</t>
  </si>
  <si>
    <t xml:space="preserve">120</t>
  </si>
  <si>
    <t xml:space="preserve">KIKUYU</t>
  </si>
  <si>
    <t xml:space="preserve">121</t>
  </si>
  <si>
    <t xml:space="preserve">LIMURU</t>
  </si>
  <si>
    <t xml:space="preserve">122</t>
  </si>
  <si>
    <t xml:space="preserve">LARI</t>
  </si>
  <si>
    <t xml:space="preserve">TURKANA</t>
  </si>
  <si>
    <t xml:space="preserve">123</t>
  </si>
  <si>
    <t xml:space="preserve">TURKANA NORTH</t>
  </si>
  <si>
    <t xml:space="preserve">124</t>
  </si>
  <si>
    <t xml:space="preserve">TURKANA WEST</t>
  </si>
  <si>
    <t xml:space="preserve">125</t>
  </si>
  <si>
    <t xml:space="preserve">TURKANA CENTRAL</t>
  </si>
  <si>
    <t xml:space="preserve">126</t>
  </si>
  <si>
    <t xml:space="preserve">LOIMA</t>
  </si>
  <si>
    <t xml:space="preserve">127</t>
  </si>
  <si>
    <t xml:space="preserve">TURKANA SOUTH</t>
  </si>
  <si>
    <t xml:space="preserve">128</t>
  </si>
  <si>
    <t xml:space="preserve">TURKANA EAST</t>
  </si>
  <si>
    <t xml:space="preserve">WEST POKOT</t>
  </si>
  <si>
    <t xml:space="preserve">129</t>
  </si>
  <si>
    <t xml:space="preserve">KAPENGURIA</t>
  </si>
  <si>
    <t xml:space="preserve">130</t>
  </si>
  <si>
    <t xml:space="preserve">SIGOR</t>
  </si>
  <si>
    <t xml:space="preserve">131</t>
  </si>
  <si>
    <t xml:space="preserve">KACHELIBA</t>
  </si>
  <si>
    <t xml:space="preserve">132</t>
  </si>
  <si>
    <t xml:space="preserve">POKOT SOUTH</t>
  </si>
  <si>
    <t xml:space="preserve">SAMBURU</t>
  </si>
  <si>
    <t xml:space="preserve">133</t>
  </si>
  <si>
    <t xml:space="preserve">SAMBURU WEST</t>
  </si>
  <si>
    <t xml:space="preserve">134</t>
  </si>
  <si>
    <t xml:space="preserve">SAMBURU NORTH</t>
  </si>
  <si>
    <t xml:space="preserve">135</t>
  </si>
  <si>
    <t xml:space="preserve">SAMBURU EAST</t>
  </si>
  <si>
    <t xml:space="preserve">TRANS NZOIA</t>
  </si>
  <si>
    <t xml:space="preserve">136</t>
  </si>
  <si>
    <t xml:space="preserve">KWANZA</t>
  </si>
  <si>
    <t xml:space="preserve">137</t>
  </si>
  <si>
    <t xml:space="preserve">ENDEBESS</t>
  </si>
  <si>
    <t xml:space="preserve">138</t>
  </si>
  <si>
    <t xml:space="preserve">SABOTI</t>
  </si>
  <si>
    <t xml:space="preserve">139</t>
  </si>
  <si>
    <t xml:space="preserve">KIMININI</t>
  </si>
  <si>
    <t xml:space="preserve">140</t>
  </si>
  <si>
    <t xml:space="preserve">CHERANGANY</t>
  </si>
  <si>
    <t xml:space="preserve">UASIN GISHU</t>
  </si>
  <si>
    <t xml:space="preserve">141</t>
  </si>
  <si>
    <t xml:space="preserve">SOY</t>
  </si>
  <si>
    <t xml:space="preserve">142</t>
  </si>
  <si>
    <t xml:space="preserve">TURBO</t>
  </si>
  <si>
    <t xml:space="preserve">143</t>
  </si>
  <si>
    <t xml:space="preserve">MOIBEN</t>
  </si>
  <si>
    <t xml:space="preserve">144</t>
  </si>
  <si>
    <t xml:space="preserve">AINABKOI</t>
  </si>
  <si>
    <t xml:space="preserve">145</t>
  </si>
  <si>
    <t xml:space="preserve">KAPSERET</t>
  </si>
  <si>
    <t xml:space="preserve">146</t>
  </si>
  <si>
    <t xml:space="preserve">KESSES</t>
  </si>
  <si>
    <t xml:space="preserve">ELGEYO/MARAKWET</t>
  </si>
  <si>
    <t xml:space="preserve">147</t>
  </si>
  <si>
    <t xml:space="preserve">MARAKWET EAST</t>
  </si>
  <si>
    <t xml:space="preserve">148</t>
  </si>
  <si>
    <t xml:space="preserve">MARAKWET WEST</t>
  </si>
  <si>
    <t xml:space="preserve">149</t>
  </si>
  <si>
    <t xml:space="preserve">KEIYO NORTH</t>
  </si>
  <si>
    <t xml:space="preserve">150</t>
  </si>
  <si>
    <t xml:space="preserve">KEIYO SOUTH</t>
  </si>
  <si>
    <t xml:space="preserve">NANDI</t>
  </si>
  <si>
    <t xml:space="preserve">151</t>
  </si>
  <si>
    <t xml:space="preserve">TINDERET</t>
  </si>
  <si>
    <t xml:space="preserve">152</t>
  </si>
  <si>
    <t xml:space="preserve">ALDAI</t>
  </si>
  <si>
    <t xml:space="preserve">153</t>
  </si>
  <si>
    <t xml:space="preserve">NANDI HILLS</t>
  </si>
  <si>
    <t xml:space="preserve">154</t>
  </si>
  <si>
    <t xml:space="preserve">CHESUMEI</t>
  </si>
  <si>
    <t xml:space="preserve">155</t>
  </si>
  <si>
    <t xml:space="preserve">EMGWEN</t>
  </si>
  <si>
    <t xml:space="preserve">156</t>
  </si>
  <si>
    <t xml:space="preserve">MOSOP</t>
  </si>
  <si>
    <t xml:space="preserve">BARINGO</t>
  </si>
  <si>
    <t xml:space="preserve">157</t>
  </si>
  <si>
    <t xml:space="preserve">TIATY</t>
  </si>
  <si>
    <t xml:space="preserve">158</t>
  </si>
  <si>
    <t xml:space="preserve">BARINGO  NORTH</t>
  </si>
  <si>
    <t xml:space="preserve">159</t>
  </si>
  <si>
    <t xml:space="preserve">BARINGO CENTRAL</t>
  </si>
  <si>
    <t xml:space="preserve">160</t>
  </si>
  <si>
    <t xml:space="preserve">BARINGO SOUTH</t>
  </si>
  <si>
    <t xml:space="preserve">161</t>
  </si>
  <si>
    <t xml:space="preserve">MOGOTIO</t>
  </si>
  <si>
    <t xml:space="preserve">162</t>
  </si>
  <si>
    <t xml:space="preserve">ELDAMA RAVINE</t>
  </si>
  <si>
    <t xml:space="preserve">LAIKIPIA</t>
  </si>
  <si>
    <t xml:space="preserve">163</t>
  </si>
  <si>
    <t xml:space="preserve">LAIKIPIA WEST</t>
  </si>
  <si>
    <t xml:space="preserve">164</t>
  </si>
  <si>
    <t xml:space="preserve">LAIKIPIA EAST</t>
  </si>
  <si>
    <t xml:space="preserve">165</t>
  </si>
  <si>
    <t xml:space="preserve">LAIKIPIA NORTH</t>
  </si>
  <si>
    <t xml:space="preserve">NAKURU</t>
  </si>
  <si>
    <t xml:space="preserve">166</t>
  </si>
  <si>
    <t xml:space="preserve">MOLO</t>
  </si>
  <si>
    <t xml:space="preserve">167</t>
  </si>
  <si>
    <t xml:space="preserve">NJORO</t>
  </si>
  <si>
    <t xml:space="preserve">168</t>
  </si>
  <si>
    <t xml:space="preserve">NAIVASHA</t>
  </si>
  <si>
    <t xml:space="preserve">169</t>
  </si>
  <si>
    <t xml:space="preserve">GILGIL</t>
  </si>
  <si>
    <t xml:space="preserve">170</t>
  </si>
  <si>
    <t xml:space="preserve">KURESOI SOUTH</t>
  </si>
  <si>
    <t xml:space="preserve">171</t>
  </si>
  <si>
    <t xml:space="preserve">KURESOI NORTH</t>
  </si>
  <si>
    <t xml:space="preserve">172</t>
  </si>
  <si>
    <t xml:space="preserve">SUBUKIA</t>
  </si>
  <si>
    <t xml:space="preserve">173</t>
  </si>
  <si>
    <t xml:space="preserve">RONGAI</t>
  </si>
  <si>
    <t xml:space="preserve">174</t>
  </si>
  <si>
    <t xml:space="preserve">BAHATI</t>
  </si>
  <si>
    <t xml:space="preserve">175</t>
  </si>
  <si>
    <t xml:space="preserve">NAKURU TOWN WEST</t>
  </si>
  <si>
    <t xml:space="preserve">176</t>
  </si>
  <si>
    <t xml:space="preserve">NAKURU TOWN EAST</t>
  </si>
  <si>
    <t xml:space="preserve">NAROK</t>
  </si>
  <si>
    <t xml:space="preserve">177</t>
  </si>
  <si>
    <t xml:space="preserve">KILGORIS</t>
  </si>
  <si>
    <t xml:space="preserve">178</t>
  </si>
  <si>
    <t xml:space="preserve">EMURUA DIKIRR</t>
  </si>
  <si>
    <t xml:space="preserve">179</t>
  </si>
  <si>
    <t xml:space="preserve">NAROK NORTH</t>
  </si>
  <si>
    <t xml:space="preserve">180</t>
  </si>
  <si>
    <t xml:space="preserve">NAROK EAST</t>
  </si>
  <si>
    <t xml:space="preserve">181</t>
  </si>
  <si>
    <t xml:space="preserve">NAROK SOUTH</t>
  </si>
  <si>
    <t xml:space="preserve">182</t>
  </si>
  <si>
    <t xml:space="preserve">NAROK WEST</t>
  </si>
  <si>
    <t xml:space="preserve">KAJIADO</t>
  </si>
  <si>
    <t xml:space="preserve">183</t>
  </si>
  <si>
    <t xml:space="preserve">KAJIADO NORTH</t>
  </si>
  <si>
    <t xml:space="preserve">184</t>
  </si>
  <si>
    <t xml:space="preserve">KAJIADO CENTRAL</t>
  </si>
  <si>
    <t xml:space="preserve">185</t>
  </si>
  <si>
    <t xml:space="preserve">KAJIADO EAST</t>
  </si>
  <si>
    <t xml:space="preserve">186</t>
  </si>
  <si>
    <t xml:space="preserve">KAJIADO WEST</t>
  </si>
  <si>
    <t xml:space="preserve">187</t>
  </si>
  <si>
    <t xml:space="preserve">KAJIADO SOUTH</t>
  </si>
  <si>
    <t xml:space="preserve">KERICHO</t>
  </si>
  <si>
    <t xml:space="preserve">188</t>
  </si>
  <si>
    <t xml:space="preserve">KIPKELION EAST</t>
  </si>
  <si>
    <t xml:space="preserve">189</t>
  </si>
  <si>
    <t xml:space="preserve">KIPKELION WEST</t>
  </si>
  <si>
    <t xml:space="preserve">190</t>
  </si>
  <si>
    <t xml:space="preserve">AINAMOI</t>
  </si>
  <si>
    <t xml:space="preserve">191</t>
  </si>
  <si>
    <t xml:space="preserve">BURETI</t>
  </si>
  <si>
    <t xml:space="preserve">192</t>
  </si>
  <si>
    <t xml:space="preserve">BELGUT</t>
  </si>
  <si>
    <t xml:space="preserve">193</t>
  </si>
  <si>
    <t xml:space="preserve">SIGOWET/SOIN</t>
  </si>
  <si>
    <t xml:space="preserve">BOMET</t>
  </si>
  <si>
    <t xml:space="preserve">194</t>
  </si>
  <si>
    <t xml:space="preserve">SOTIK</t>
  </si>
  <si>
    <t xml:space="preserve">195</t>
  </si>
  <si>
    <t xml:space="preserve">CHEPALUNGU</t>
  </si>
  <si>
    <t xml:space="preserve">196</t>
  </si>
  <si>
    <t xml:space="preserve">BOMET EAST</t>
  </si>
  <si>
    <t xml:space="preserve">197</t>
  </si>
  <si>
    <t xml:space="preserve">BOMET CENTRAL</t>
  </si>
  <si>
    <t xml:space="preserve">198</t>
  </si>
  <si>
    <t xml:space="preserve">KONOIN</t>
  </si>
  <si>
    <t xml:space="preserve">KAKAMEGA</t>
  </si>
  <si>
    <t xml:space="preserve">199</t>
  </si>
  <si>
    <t xml:space="preserve">LUGARI</t>
  </si>
  <si>
    <t xml:space="preserve">200</t>
  </si>
  <si>
    <t xml:space="preserve">LIKUYANI</t>
  </si>
  <si>
    <t xml:space="preserve">201</t>
  </si>
  <si>
    <t xml:space="preserve">MALAVA</t>
  </si>
  <si>
    <t xml:space="preserve">202</t>
  </si>
  <si>
    <t xml:space="preserve">LURAMBI</t>
  </si>
  <si>
    <t xml:space="preserve">203</t>
  </si>
  <si>
    <t xml:space="preserve">NAVAKHOLO</t>
  </si>
  <si>
    <t xml:space="preserve">204</t>
  </si>
  <si>
    <t xml:space="preserve">MUMIAS WEST</t>
  </si>
  <si>
    <t xml:space="preserve">205</t>
  </si>
  <si>
    <t xml:space="preserve">MUMIAS EAST</t>
  </si>
  <si>
    <t xml:space="preserve">206</t>
  </si>
  <si>
    <t xml:space="preserve">MATUNGU</t>
  </si>
  <si>
    <t xml:space="preserve">207</t>
  </si>
  <si>
    <t xml:space="preserve">BUTERE</t>
  </si>
  <si>
    <t xml:space="preserve">208</t>
  </si>
  <si>
    <t xml:space="preserve">KHWISERO</t>
  </si>
  <si>
    <t xml:space="preserve">209</t>
  </si>
  <si>
    <t xml:space="preserve">SHINYALU</t>
  </si>
  <si>
    <t xml:space="preserve">210</t>
  </si>
  <si>
    <t xml:space="preserve">IKOLOMANI</t>
  </si>
  <si>
    <t xml:space="preserve">VIHIGA</t>
  </si>
  <si>
    <t xml:space="preserve">211</t>
  </si>
  <si>
    <t xml:space="preserve">212</t>
  </si>
  <si>
    <t xml:space="preserve">SABATIA</t>
  </si>
  <si>
    <t xml:space="preserve">213</t>
  </si>
  <si>
    <t xml:space="preserve">HAMISI</t>
  </si>
  <si>
    <t xml:space="preserve">214</t>
  </si>
  <si>
    <t xml:space="preserve">LUANDA</t>
  </si>
  <si>
    <t xml:space="preserve">215</t>
  </si>
  <si>
    <t xml:space="preserve">EMUHAYA</t>
  </si>
  <si>
    <t xml:space="preserve">BUNGOMA</t>
  </si>
  <si>
    <t xml:space="preserve">216</t>
  </si>
  <si>
    <t xml:space="preserve">MT. ELGON</t>
  </si>
  <si>
    <t xml:space="preserve">217</t>
  </si>
  <si>
    <t xml:space="preserve">SIRISIA</t>
  </si>
  <si>
    <t xml:space="preserve">218</t>
  </si>
  <si>
    <t xml:space="preserve">KABUCHAI</t>
  </si>
  <si>
    <t xml:space="preserve">219</t>
  </si>
  <si>
    <t xml:space="preserve">BUMULA</t>
  </si>
  <si>
    <t xml:space="preserve">220</t>
  </si>
  <si>
    <t xml:space="preserve">KANDUYI</t>
  </si>
  <si>
    <t xml:space="preserve">221</t>
  </si>
  <si>
    <t xml:space="preserve">WEBUYE EAST</t>
  </si>
  <si>
    <t xml:space="preserve">222</t>
  </si>
  <si>
    <t xml:space="preserve">WEBUYE WEST</t>
  </si>
  <si>
    <t xml:space="preserve">223</t>
  </si>
  <si>
    <t xml:space="preserve">KIMILILI</t>
  </si>
  <si>
    <t xml:space="preserve">224</t>
  </si>
  <si>
    <t xml:space="preserve">TONGAREN</t>
  </si>
  <si>
    <t xml:space="preserve">BUSIA</t>
  </si>
  <si>
    <t xml:space="preserve">225</t>
  </si>
  <si>
    <t xml:space="preserve">TESO NORTH</t>
  </si>
  <si>
    <t xml:space="preserve">226</t>
  </si>
  <si>
    <t xml:space="preserve">TESO SOUTH</t>
  </si>
  <si>
    <t xml:space="preserve">227</t>
  </si>
  <si>
    <t xml:space="preserve">NAMBALE</t>
  </si>
  <si>
    <t xml:space="preserve">228</t>
  </si>
  <si>
    <t xml:space="preserve">MATAYOS</t>
  </si>
  <si>
    <t xml:space="preserve">229</t>
  </si>
  <si>
    <t xml:space="preserve">BUTULA</t>
  </si>
  <si>
    <t xml:space="preserve">230</t>
  </si>
  <si>
    <t xml:space="preserve">FUNYULA</t>
  </si>
  <si>
    <t xml:space="preserve">231</t>
  </si>
  <si>
    <t xml:space="preserve">BUDALANGI</t>
  </si>
  <si>
    <t xml:space="preserve">SIAYA</t>
  </si>
  <si>
    <t xml:space="preserve">232</t>
  </si>
  <si>
    <t xml:space="preserve">UGENYA</t>
  </si>
  <si>
    <t xml:space="preserve">233</t>
  </si>
  <si>
    <t xml:space="preserve">UGUNJA</t>
  </si>
  <si>
    <t xml:space="preserve">234</t>
  </si>
  <si>
    <t xml:space="preserve">ALEGO USONGA</t>
  </si>
  <si>
    <t xml:space="preserve">235</t>
  </si>
  <si>
    <t xml:space="preserve">GEM</t>
  </si>
  <si>
    <t xml:space="preserve">236</t>
  </si>
  <si>
    <t xml:space="preserve">BONDO</t>
  </si>
  <si>
    <t xml:space="preserve">237</t>
  </si>
  <si>
    <t xml:space="preserve">RARIEDA</t>
  </si>
  <si>
    <t xml:space="preserve">KISUMU</t>
  </si>
  <si>
    <t xml:space="preserve">238</t>
  </si>
  <si>
    <t xml:space="preserve">KISUMU EAST</t>
  </si>
  <si>
    <t xml:space="preserve">239</t>
  </si>
  <si>
    <t xml:space="preserve">KISUMU WEST</t>
  </si>
  <si>
    <t xml:space="preserve">240</t>
  </si>
  <si>
    <t xml:space="preserve">KISUMU CENTRAL</t>
  </si>
  <si>
    <t xml:space="preserve">241</t>
  </si>
  <si>
    <t xml:space="preserve">SEME</t>
  </si>
  <si>
    <t xml:space="preserve">242</t>
  </si>
  <si>
    <t xml:space="preserve">NYANDO</t>
  </si>
  <si>
    <t xml:space="preserve">243</t>
  </si>
  <si>
    <t xml:space="preserve">MUHORONI</t>
  </si>
  <si>
    <t xml:space="preserve">244</t>
  </si>
  <si>
    <t xml:space="preserve">NYAKACH</t>
  </si>
  <si>
    <t xml:space="preserve">HOMA BAY</t>
  </si>
  <si>
    <t xml:space="preserve">245</t>
  </si>
  <si>
    <t xml:space="preserve">KASIPUL</t>
  </si>
  <si>
    <t xml:space="preserve">246</t>
  </si>
  <si>
    <t xml:space="preserve">KABONDO KASIPUL</t>
  </si>
  <si>
    <t xml:space="preserve">247</t>
  </si>
  <si>
    <t xml:space="preserve">KARACHUONYO</t>
  </si>
  <si>
    <t xml:space="preserve">248</t>
  </si>
  <si>
    <t xml:space="preserve">RANGWE</t>
  </si>
  <si>
    <t xml:space="preserve">249</t>
  </si>
  <si>
    <t xml:space="preserve">HOMA BAY TOWN</t>
  </si>
  <si>
    <t xml:space="preserve">250</t>
  </si>
  <si>
    <t xml:space="preserve">NDHIWA</t>
  </si>
  <si>
    <t xml:space="preserve">251</t>
  </si>
  <si>
    <t xml:space="preserve">MBITA</t>
  </si>
  <si>
    <t xml:space="preserve">252</t>
  </si>
  <si>
    <t xml:space="preserve">SUBA</t>
  </si>
  <si>
    <t xml:space="preserve">MIGORI</t>
  </si>
  <si>
    <t xml:space="preserve">253</t>
  </si>
  <si>
    <t xml:space="preserve">RONGO</t>
  </si>
  <si>
    <t xml:space="preserve">254</t>
  </si>
  <si>
    <t xml:space="preserve">AWENDO</t>
  </si>
  <si>
    <t xml:space="preserve">255</t>
  </si>
  <si>
    <t xml:space="preserve">SUNA EAST</t>
  </si>
  <si>
    <t xml:space="preserve">256</t>
  </si>
  <si>
    <t xml:space="preserve">SUNA WEST</t>
  </si>
  <si>
    <t xml:space="preserve">257</t>
  </si>
  <si>
    <t xml:space="preserve">URIRI</t>
  </si>
  <si>
    <t xml:space="preserve">258</t>
  </si>
  <si>
    <t xml:space="preserve">NYATIKE</t>
  </si>
  <si>
    <t xml:space="preserve">259</t>
  </si>
  <si>
    <t xml:space="preserve">KURIA WEST</t>
  </si>
  <si>
    <t xml:space="preserve">260</t>
  </si>
  <si>
    <t xml:space="preserve">KURIA EAST</t>
  </si>
  <si>
    <t xml:space="preserve">KISII</t>
  </si>
  <si>
    <t xml:space="preserve">261</t>
  </si>
  <si>
    <t xml:space="preserve">BONCHARI</t>
  </si>
  <si>
    <t xml:space="preserve">262</t>
  </si>
  <si>
    <t xml:space="preserve">SOUTH MUGIRANGO</t>
  </si>
  <si>
    <t xml:space="preserve">263</t>
  </si>
  <si>
    <t xml:space="preserve">BOMACHOGE BORABU</t>
  </si>
  <si>
    <t xml:space="preserve">264</t>
  </si>
  <si>
    <t xml:space="preserve">BOBASI</t>
  </si>
  <si>
    <t xml:space="preserve">265</t>
  </si>
  <si>
    <t xml:space="preserve">BOMACHOGE CHACHE</t>
  </si>
  <si>
    <t xml:space="preserve">266</t>
  </si>
  <si>
    <t xml:space="preserve">NYARIBARI MASABA</t>
  </si>
  <si>
    <t xml:space="preserve">267</t>
  </si>
  <si>
    <t xml:space="preserve">NYARIBARI CHACHE</t>
  </si>
  <si>
    <t xml:space="preserve">268</t>
  </si>
  <si>
    <t xml:space="preserve">KITUTU CHACHE NORTH</t>
  </si>
  <si>
    <t xml:space="preserve">269</t>
  </si>
  <si>
    <t xml:space="preserve">KITUTU CHACHE SOUTH</t>
  </si>
  <si>
    <t xml:space="preserve">NYAMIRA</t>
  </si>
  <si>
    <t xml:space="preserve">270</t>
  </si>
  <si>
    <t xml:space="preserve">KITUTU MASABA</t>
  </si>
  <si>
    <t xml:space="preserve">271</t>
  </si>
  <si>
    <t xml:space="preserve">WEST MUGIRANGO</t>
  </si>
  <si>
    <t xml:space="preserve">272</t>
  </si>
  <si>
    <t xml:space="preserve">NORTH MUGIRANGO</t>
  </si>
  <si>
    <t xml:space="preserve">273</t>
  </si>
  <si>
    <t xml:space="preserve">BORABU</t>
  </si>
  <si>
    <t xml:space="preserve">NAIROBI CITY</t>
  </si>
  <si>
    <t xml:space="preserve">274</t>
  </si>
  <si>
    <t xml:space="preserve">WESTLANDS</t>
  </si>
  <si>
    <t xml:space="preserve">275</t>
  </si>
  <si>
    <t xml:space="preserve">DAGORETTI NORTH</t>
  </si>
  <si>
    <t xml:space="preserve">276</t>
  </si>
  <si>
    <t xml:space="preserve">DAGORETTI SOUTH</t>
  </si>
  <si>
    <t xml:space="preserve">277</t>
  </si>
  <si>
    <t xml:space="preserve">LANGATA</t>
  </si>
  <si>
    <t xml:space="preserve">278</t>
  </si>
  <si>
    <t xml:space="preserve">KIBRA</t>
  </si>
  <si>
    <t xml:space="preserve">279</t>
  </si>
  <si>
    <t xml:space="preserve">ROYSAMBU</t>
  </si>
  <si>
    <t xml:space="preserve">280</t>
  </si>
  <si>
    <t xml:space="preserve">KASARANI</t>
  </si>
  <si>
    <t xml:space="preserve">281</t>
  </si>
  <si>
    <t xml:space="preserve">RUARAKA</t>
  </si>
  <si>
    <t xml:space="preserve">282</t>
  </si>
  <si>
    <t xml:space="preserve">EMBAKASI SOUTH</t>
  </si>
  <si>
    <t xml:space="preserve">283</t>
  </si>
  <si>
    <t xml:space="preserve">EMBAKASI NORTH</t>
  </si>
  <si>
    <t xml:space="preserve">284</t>
  </si>
  <si>
    <t xml:space="preserve">EMBAKASI CENTRAL</t>
  </si>
  <si>
    <t xml:space="preserve">285</t>
  </si>
  <si>
    <t xml:space="preserve">EMBAKASI EAST</t>
  </si>
  <si>
    <t xml:space="preserve">286</t>
  </si>
  <si>
    <t xml:space="preserve">EMBAKASI WEST</t>
  </si>
  <si>
    <t xml:space="preserve">287</t>
  </si>
  <si>
    <t xml:space="preserve">MAKADARA</t>
  </si>
  <si>
    <t xml:space="preserve">288</t>
  </si>
  <si>
    <t xml:space="preserve">KAMUKUNJI</t>
  </si>
  <si>
    <t xml:space="preserve">289</t>
  </si>
  <si>
    <t xml:space="preserve">STAREHE</t>
  </si>
  <si>
    <t xml:space="preserve">290</t>
  </si>
  <si>
    <t xml:space="preserve">MATHARE</t>
  </si>
  <si>
    <t xml:space="preserve">DIASPORA</t>
  </si>
  <si>
    <t xml:space="preserve">291</t>
  </si>
  <si>
    <t xml:space="preserve">PRISISONS</t>
  </si>
  <si>
    <t xml:space="preserve">292</t>
  </si>
  <si>
    <t xml:space="preserve">PRISONS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</si>
</sst>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@"/>
    <numFmt numFmtId="167" formatCode="#,##0"/>
    <numFmt numFmtId="168" formatCode="#,##0.0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000000"/>
      <name val="Tahoma"/>
      <family val="2"/>
      <charset val="1"/>
    </font>
    <font>
      <sz val="10"/>
      <color rgb="FF000000"/>
      <name val="Tahoma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2F2F2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294"/>
  <sheetViews>
    <sheetView showFormulas="false" showGridLines="true" showRowColHeaders="true" showZeros="true" rightToLeft="false" tabSelected="true" showOutlineSymbols="true" defaultGridColor="true" view="normal" topLeftCell="A281" colorId="64" zoomScale="100" zoomScaleNormal="100" zoomScalePageLayoutView="100" workbookViewId="0">
      <selection pane="topLeft" activeCell="A295" activeCellId="0" sqref="A295"/>
    </sheetView>
  </sheetViews>
  <sheetFormatPr defaultRowHeight="12.8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12.71"/>
    <col collapsed="false" customWidth="true" hidden="false" outlineLevel="0" max="3" min="3" style="0" width="8.67"/>
    <col collapsed="false" customWidth="true" hidden="false" outlineLevel="0" max="4" min="4" style="0" width="10.28"/>
    <col collapsed="false" customWidth="true" hidden="false" outlineLevel="0" max="5" min="5" style="0" width="7.49"/>
    <col collapsed="false" customWidth="true" hidden="false" outlineLevel="0" max="6" min="6" style="0" width="6.39"/>
    <col collapsed="false" customWidth="true" hidden="false" outlineLevel="0" max="7" min="7" style="0" width="9.03"/>
    <col collapsed="false" customWidth="true" hidden="false" outlineLevel="0" max="8" min="8" style="0" width="10"/>
    <col collapsed="false" customWidth="true" hidden="false" outlineLevel="0" max="9" min="9" style="0" width="7.22"/>
    <col collapsed="false" customWidth="true" hidden="false" outlineLevel="0" max="10" min="10" style="0" width="10.57"/>
    <col collapsed="false" customWidth="true" hidden="false" outlineLevel="0" max="12" min="11" style="0" width="8.67"/>
    <col collapsed="false" customWidth="true" hidden="false" outlineLevel="0" max="13" min="13" style="0" width="16.26"/>
    <col collapsed="false" customWidth="true" hidden="false" outlineLevel="0" max="14" min="14" style="0" width="16.94"/>
    <col collapsed="false" customWidth="true" hidden="false" outlineLevel="0" max="15" min="15" style="0" width="11.65"/>
    <col collapsed="false" customWidth="true" hidden="false" outlineLevel="0" max="1025" min="16" style="0" width="8.67"/>
  </cols>
  <sheetData>
    <row r="1" customFormat="false" ht="12.8" hidden="false" customHeight="true" outlineLevel="0" collapsed="false">
      <c r="A1" s="1" t="s">
        <v>0</v>
      </c>
      <c r="B1" s="2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" t="s">
        <v>14</v>
      </c>
      <c r="P1" s="3" t="s">
        <v>15</v>
      </c>
      <c r="Q1" s="3" t="s">
        <v>16</v>
      </c>
      <c r="R1" s="1" t="s">
        <v>17</v>
      </c>
      <c r="S1" s="1" t="s">
        <v>18</v>
      </c>
    </row>
    <row r="2" customFormat="false" ht="12.8" hidden="false" customHeight="false" outlineLevel="0" collapsed="false">
      <c r="A2" s="1"/>
      <c r="B2" s="2"/>
      <c r="C2" s="1"/>
      <c r="D2" s="1"/>
      <c r="E2" s="4"/>
      <c r="F2" s="4"/>
      <c r="G2" s="4"/>
      <c r="H2" s="4"/>
      <c r="I2" s="5"/>
      <c r="J2" s="5"/>
      <c r="K2" s="5"/>
      <c r="L2" s="5"/>
      <c r="M2" s="5"/>
      <c r="N2" s="5"/>
      <c r="O2" s="1"/>
      <c r="P2" s="3"/>
      <c r="Q2" s="3"/>
      <c r="R2" s="1"/>
      <c r="S2" s="1"/>
    </row>
    <row r="3" customFormat="false" ht="12.8" hidden="false" customHeight="false" outlineLevel="0" collapsed="false">
      <c r="A3" s="6" t="s">
        <v>19</v>
      </c>
      <c r="B3" s="7" t="s">
        <v>20</v>
      </c>
      <c r="C3" s="6" t="s">
        <v>19</v>
      </c>
      <c r="D3" s="7" t="s">
        <v>21</v>
      </c>
      <c r="E3" s="8" t="n">
        <v>6638</v>
      </c>
      <c r="F3" s="8" t="n">
        <v>8790</v>
      </c>
      <c r="G3" s="8" t="n">
        <v>15842</v>
      </c>
      <c r="H3" s="8" t="n">
        <v>19026</v>
      </c>
      <c r="I3" s="8" t="n">
        <v>8266</v>
      </c>
      <c r="J3" s="8" t="n">
        <v>12796</v>
      </c>
      <c r="K3" s="8" t="n">
        <v>3230</v>
      </c>
      <c r="L3" s="8" t="n">
        <v>1997</v>
      </c>
      <c r="M3" s="8" t="n">
        <v>6117</v>
      </c>
      <c r="N3" s="8" t="n">
        <v>3629</v>
      </c>
      <c r="O3" s="8" t="n">
        <f aca="false">E3+G3+I3+K3+M3</f>
        <v>40093</v>
      </c>
      <c r="P3" s="8" t="n">
        <f aca="false">F3+H3+J3+L3+N3</f>
        <v>46238</v>
      </c>
      <c r="Q3" s="8" t="n">
        <f aca="false">SUM(O3:P3)</f>
        <v>86331</v>
      </c>
      <c r="R3" s="9" t="n">
        <f aca="false">(O3/Q3)*100</f>
        <v>46.4410235025657</v>
      </c>
      <c r="S3" s="9" t="n">
        <f aca="false">(P3/Q3)*100</f>
        <v>53.5589764974343</v>
      </c>
    </row>
    <row r="4" customFormat="false" ht="12.8" hidden="false" customHeight="false" outlineLevel="0" collapsed="false">
      <c r="A4" s="6" t="s">
        <v>19</v>
      </c>
      <c r="B4" s="7" t="s">
        <v>20</v>
      </c>
      <c r="C4" s="6" t="s">
        <v>22</v>
      </c>
      <c r="D4" s="7" t="s">
        <v>23</v>
      </c>
      <c r="E4" s="8" t="n">
        <v>5543</v>
      </c>
      <c r="F4" s="8" t="n">
        <v>6139</v>
      </c>
      <c r="G4" s="8" t="n">
        <v>14172</v>
      </c>
      <c r="H4" s="8" t="n">
        <v>14748</v>
      </c>
      <c r="I4" s="8" t="n">
        <v>6938</v>
      </c>
      <c r="J4" s="8" t="n">
        <v>9775</v>
      </c>
      <c r="K4" s="8" t="n">
        <v>2578</v>
      </c>
      <c r="L4" s="8" t="n">
        <v>2069</v>
      </c>
      <c r="M4" s="8" t="n">
        <v>4537</v>
      </c>
      <c r="N4" s="8" t="n">
        <v>2808</v>
      </c>
      <c r="O4" s="8" t="n">
        <f aca="false">E4+G4+I4+K4+M4</f>
        <v>33768</v>
      </c>
      <c r="P4" s="8" t="n">
        <f aca="false">F4+H4+J4+L4+N4</f>
        <v>35539</v>
      </c>
      <c r="Q4" s="8" t="n">
        <f aca="false">SUM(O4:P4)</f>
        <v>69307</v>
      </c>
      <c r="R4" s="9" t="n">
        <f aca="false">(O4/Q4)*100</f>
        <v>48.7223512776487</v>
      </c>
      <c r="S4" s="9" t="n">
        <f aca="false">(P4/Q4)*100</f>
        <v>51.2776487223513</v>
      </c>
    </row>
    <row r="5" customFormat="false" ht="12.8" hidden="false" customHeight="false" outlineLevel="0" collapsed="false">
      <c r="A5" s="6" t="s">
        <v>19</v>
      </c>
      <c r="B5" s="7" t="s">
        <v>20</v>
      </c>
      <c r="C5" s="6" t="s">
        <v>24</v>
      </c>
      <c r="D5" s="7" t="s">
        <v>25</v>
      </c>
      <c r="E5" s="8" t="n">
        <v>11589</v>
      </c>
      <c r="F5" s="8" t="n">
        <v>12272</v>
      </c>
      <c r="G5" s="8" t="n">
        <v>25706</v>
      </c>
      <c r="H5" s="8" t="n">
        <v>24241</v>
      </c>
      <c r="I5" s="8" t="n">
        <v>13420</v>
      </c>
      <c r="J5" s="8" t="n">
        <v>15307</v>
      </c>
      <c r="K5" s="8" t="n">
        <v>5947</v>
      </c>
      <c r="L5" s="8" t="n">
        <v>4763</v>
      </c>
      <c r="M5" s="8" t="n">
        <v>7976</v>
      </c>
      <c r="N5" s="8" t="n">
        <v>4930</v>
      </c>
      <c r="O5" s="8" t="n">
        <f aca="false">E5+G5+I5+K5+M5</f>
        <v>64638</v>
      </c>
      <c r="P5" s="8" t="n">
        <f aca="false">F5+H5+J5+L5+N5</f>
        <v>61513</v>
      </c>
      <c r="Q5" s="8" t="n">
        <f aca="false">SUM(O5:P5)</f>
        <v>126151</v>
      </c>
      <c r="R5" s="9" t="n">
        <f aca="false">(O5/Q5)*100</f>
        <v>51.2385950170827</v>
      </c>
      <c r="S5" s="9" t="n">
        <f aca="false">(P5/Q5)*100</f>
        <v>48.7614049829173</v>
      </c>
    </row>
    <row r="6" customFormat="false" ht="12.8" hidden="false" customHeight="false" outlineLevel="0" collapsed="false">
      <c r="A6" s="6" t="s">
        <v>19</v>
      </c>
      <c r="B6" s="7" t="s">
        <v>20</v>
      </c>
      <c r="C6" s="6" t="s">
        <v>26</v>
      </c>
      <c r="D6" s="7" t="s">
        <v>27</v>
      </c>
      <c r="E6" s="8" t="n">
        <v>7512</v>
      </c>
      <c r="F6" s="8" t="n">
        <v>9756</v>
      </c>
      <c r="G6" s="8" t="n">
        <v>18678</v>
      </c>
      <c r="H6" s="8" t="n">
        <v>23690</v>
      </c>
      <c r="I6" s="8" t="n">
        <v>9851</v>
      </c>
      <c r="J6" s="8" t="n">
        <v>14949</v>
      </c>
      <c r="K6" s="8" t="n">
        <v>4384</v>
      </c>
      <c r="L6" s="8" t="n">
        <v>3106</v>
      </c>
      <c r="M6" s="8" t="n">
        <v>7595</v>
      </c>
      <c r="N6" s="8" t="n">
        <v>4496</v>
      </c>
      <c r="O6" s="8" t="n">
        <f aca="false">E6+G6+I6+K6+M6</f>
        <v>48020</v>
      </c>
      <c r="P6" s="8" t="n">
        <f aca="false">F6+H6+J6+L6+N6</f>
        <v>55997</v>
      </c>
      <c r="Q6" s="8" t="n">
        <f aca="false">SUM(O6:P6)</f>
        <v>104017</v>
      </c>
      <c r="R6" s="9" t="n">
        <f aca="false">(O6/Q6)*100</f>
        <v>46.1655306344155</v>
      </c>
      <c r="S6" s="9" t="n">
        <f aca="false">(P6/Q6)*100</f>
        <v>53.8344693655845</v>
      </c>
    </row>
    <row r="7" customFormat="false" ht="12.8" hidden="false" customHeight="false" outlineLevel="0" collapsed="false">
      <c r="A7" s="6" t="s">
        <v>19</v>
      </c>
      <c r="B7" s="7" t="s">
        <v>20</v>
      </c>
      <c r="C7" s="6" t="s">
        <v>28</v>
      </c>
      <c r="D7" s="7" t="s">
        <v>29</v>
      </c>
      <c r="E7" s="8" t="n">
        <v>7422</v>
      </c>
      <c r="F7" s="8" t="n">
        <v>8721</v>
      </c>
      <c r="G7" s="8" t="n">
        <v>17388</v>
      </c>
      <c r="H7" s="8" t="n">
        <v>18990</v>
      </c>
      <c r="I7" s="8" t="n">
        <v>8445</v>
      </c>
      <c r="J7" s="8" t="n">
        <v>10698</v>
      </c>
      <c r="K7" s="8" t="n">
        <v>3536</v>
      </c>
      <c r="L7" s="8" t="n">
        <v>3233</v>
      </c>
      <c r="M7" s="8" t="n">
        <v>5248</v>
      </c>
      <c r="N7" s="8" t="n">
        <v>3645</v>
      </c>
      <c r="O7" s="8" t="n">
        <f aca="false">E7+G7+I7+K7+M7</f>
        <v>42039</v>
      </c>
      <c r="P7" s="8" t="n">
        <f aca="false">F7+H7+J7+L7+N7</f>
        <v>45287</v>
      </c>
      <c r="Q7" s="8" t="n">
        <f aca="false">SUM(O7:P7)</f>
        <v>87326</v>
      </c>
      <c r="R7" s="9" t="n">
        <f aca="false">(O7/Q7)*100</f>
        <v>48.1403018574079</v>
      </c>
      <c r="S7" s="9" t="n">
        <f aca="false">(P7/Q7)*100</f>
        <v>51.8596981425921</v>
      </c>
    </row>
    <row r="8" customFormat="false" ht="12.8" hidden="false" customHeight="false" outlineLevel="0" collapsed="false">
      <c r="A8" s="6" t="s">
        <v>19</v>
      </c>
      <c r="B8" s="7" t="s">
        <v>20</v>
      </c>
      <c r="C8" s="6" t="s">
        <v>30</v>
      </c>
      <c r="D8" s="7" t="s">
        <v>31</v>
      </c>
      <c r="E8" s="8" t="n">
        <v>6907</v>
      </c>
      <c r="F8" s="8" t="n">
        <v>9881</v>
      </c>
      <c r="G8" s="8" t="n">
        <v>14405</v>
      </c>
      <c r="H8" s="8" t="n">
        <v>21863</v>
      </c>
      <c r="I8" s="8" t="n">
        <v>9509</v>
      </c>
      <c r="J8" s="8" t="n">
        <v>14999</v>
      </c>
      <c r="K8" s="8" t="n">
        <v>6088</v>
      </c>
      <c r="L8" s="8" t="n">
        <v>5976</v>
      </c>
      <c r="M8" s="8" t="n">
        <v>9235</v>
      </c>
      <c r="N8" s="8" t="n">
        <v>8228</v>
      </c>
      <c r="O8" s="8" t="n">
        <f aca="false">E8+G8+I8+K8+M8</f>
        <v>46144</v>
      </c>
      <c r="P8" s="8" t="n">
        <f aca="false">F8+H8+J8+L8+N8</f>
        <v>60947</v>
      </c>
      <c r="Q8" s="8" t="n">
        <f aca="false">SUM(O8:P8)</f>
        <v>107091</v>
      </c>
      <c r="R8" s="9" t="n">
        <f aca="false">(O8/Q8)*100</f>
        <v>43.088588210027</v>
      </c>
      <c r="S8" s="9" t="n">
        <f aca="false">(P8/Q8)*100</f>
        <v>56.911411789973</v>
      </c>
    </row>
    <row r="9" customFormat="false" ht="12.8" hidden="false" customHeight="false" outlineLevel="0" collapsed="false">
      <c r="A9" s="6" t="s">
        <v>22</v>
      </c>
      <c r="B9" s="7" t="s">
        <v>32</v>
      </c>
      <c r="C9" s="6" t="s">
        <v>33</v>
      </c>
      <c r="D9" s="7" t="s">
        <v>34</v>
      </c>
      <c r="E9" s="8" t="n">
        <v>5297</v>
      </c>
      <c r="F9" s="8" t="n">
        <v>6047</v>
      </c>
      <c r="G9" s="8" t="n">
        <v>11957</v>
      </c>
      <c r="H9" s="8" t="n">
        <v>11591</v>
      </c>
      <c r="I9" s="8" t="n">
        <v>7300</v>
      </c>
      <c r="J9" s="8" t="n">
        <v>7971</v>
      </c>
      <c r="K9" s="8" t="n">
        <v>3582</v>
      </c>
      <c r="L9" s="8" t="n">
        <v>4915</v>
      </c>
      <c r="M9" s="8" t="n">
        <v>4987</v>
      </c>
      <c r="N9" s="8" t="n">
        <v>4974</v>
      </c>
      <c r="O9" s="8" t="n">
        <f aca="false">E9+G9+I9+K9+M9</f>
        <v>33123</v>
      </c>
      <c r="P9" s="8" t="n">
        <f aca="false">F9+H9+J9+L9+N9</f>
        <v>35498</v>
      </c>
      <c r="Q9" s="8" t="n">
        <f aca="false">SUM(O9:P9)</f>
        <v>68621</v>
      </c>
      <c r="R9" s="9" t="n">
        <f aca="false">(O9/Q9)*100</f>
        <v>48.2694801882806</v>
      </c>
      <c r="S9" s="9" t="n">
        <f aca="false">(P9/Q9)*100</f>
        <v>51.7305198117194</v>
      </c>
    </row>
    <row r="10" customFormat="false" ht="12.8" hidden="false" customHeight="false" outlineLevel="0" collapsed="false">
      <c r="A10" s="6" t="s">
        <v>22</v>
      </c>
      <c r="B10" s="7" t="s">
        <v>32</v>
      </c>
      <c r="C10" s="6" t="s">
        <v>35</v>
      </c>
      <c r="D10" s="7" t="s">
        <v>36</v>
      </c>
      <c r="E10" s="8" t="n">
        <v>4087</v>
      </c>
      <c r="F10" s="8" t="n">
        <v>4156</v>
      </c>
      <c r="G10" s="8" t="n">
        <v>9125</v>
      </c>
      <c r="H10" s="8" t="n">
        <v>7986</v>
      </c>
      <c r="I10" s="8" t="n">
        <v>6849</v>
      </c>
      <c r="J10" s="8" t="n">
        <v>5930</v>
      </c>
      <c r="K10" s="8" t="n">
        <v>3063</v>
      </c>
      <c r="L10" s="8" t="n">
        <v>6536</v>
      </c>
      <c r="M10" s="8" t="n">
        <v>3557</v>
      </c>
      <c r="N10" s="8" t="n">
        <v>5659</v>
      </c>
      <c r="O10" s="8" t="n">
        <f aca="false">E10+G10+I10+K10+M10</f>
        <v>26681</v>
      </c>
      <c r="P10" s="8" t="n">
        <f aca="false">F10+H10+J10+L10+N10</f>
        <v>30267</v>
      </c>
      <c r="Q10" s="8" t="n">
        <f aca="false">SUM(O10:P10)</f>
        <v>56948</v>
      </c>
      <c r="R10" s="9" t="n">
        <f aca="false">(O10/Q10)*100</f>
        <v>46.851513661586</v>
      </c>
      <c r="S10" s="9" t="n">
        <f aca="false">(P10/Q10)*100</f>
        <v>53.148486338414</v>
      </c>
    </row>
    <row r="11" customFormat="false" ht="12.8" hidden="false" customHeight="false" outlineLevel="0" collapsed="false">
      <c r="A11" s="6" t="s">
        <v>22</v>
      </c>
      <c r="B11" s="7" t="s">
        <v>32</v>
      </c>
      <c r="C11" s="6" t="s">
        <v>37</v>
      </c>
      <c r="D11" s="7" t="s">
        <v>38</v>
      </c>
      <c r="E11" s="8" t="n">
        <v>5039</v>
      </c>
      <c r="F11" s="8" t="n">
        <v>5341</v>
      </c>
      <c r="G11" s="8" t="n">
        <v>12056</v>
      </c>
      <c r="H11" s="8" t="n">
        <v>10055</v>
      </c>
      <c r="I11" s="8" t="n">
        <v>7880</v>
      </c>
      <c r="J11" s="8" t="n">
        <v>6962</v>
      </c>
      <c r="K11" s="8" t="n">
        <v>4073</v>
      </c>
      <c r="L11" s="8" t="n">
        <v>7573</v>
      </c>
      <c r="M11" s="8" t="n">
        <v>4504</v>
      </c>
      <c r="N11" s="8" t="n">
        <v>6883</v>
      </c>
      <c r="O11" s="8" t="n">
        <f aca="false">E11+G11+I11+K11+M11</f>
        <v>33552</v>
      </c>
      <c r="P11" s="8" t="n">
        <f aca="false">F11+H11+J11+L11+N11</f>
        <v>36814</v>
      </c>
      <c r="Q11" s="8" t="n">
        <f aca="false">SUM(O11:P11)</f>
        <v>70366</v>
      </c>
      <c r="R11" s="9" t="n">
        <f aca="false">(O11/Q11)*100</f>
        <v>47.682119205298</v>
      </c>
      <c r="S11" s="9" t="n">
        <f aca="false">(P11/Q11)*100</f>
        <v>52.317880794702</v>
      </c>
    </row>
    <row r="12" customFormat="false" ht="12.8" hidden="false" customHeight="false" outlineLevel="0" collapsed="false">
      <c r="A12" s="6" t="s">
        <v>22</v>
      </c>
      <c r="B12" s="7" t="s">
        <v>32</v>
      </c>
      <c r="C12" s="6" t="s">
        <v>39</v>
      </c>
      <c r="D12" s="7" t="s">
        <v>40</v>
      </c>
      <c r="E12" s="8" t="n">
        <v>6102</v>
      </c>
      <c r="F12" s="8" t="n">
        <v>6235</v>
      </c>
      <c r="G12" s="8" t="n">
        <v>17107</v>
      </c>
      <c r="H12" s="8" t="n">
        <v>12017</v>
      </c>
      <c r="I12" s="8" t="n">
        <v>9697</v>
      </c>
      <c r="J12" s="8" t="n">
        <v>7808</v>
      </c>
      <c r="K12" s="8" t="n">
        <v>3835</v>
      </c>
      <c r="L12" s="8" t="n">
        <v>9803</v>
      </c>
      <c r="M12" s="8" t="n">
        <v>4766</v>
      </c>
      <c r="N12" s="8" t="n">
        <v>7736</v>
      </c>
      <c r="O12" s="8" t="n">
        <f aca="false">E12+G12+I12+K12+M12</f>
        <v>41507</v>
      </c>
      <c r="P12" s="8" t="n">
        <f aca="false">F12+H12+J12+L12+N12</f>
        <v>43599</v>
      </c>
      <c r="Q12" s="8" t="n">
        <f aca="false">SUM(O12:P12)</f>
        <v>85106</v>
      </c>
      <c r="R12" s="9" t="n">
        <f aca="false">(O12/Q12)*100</f>
        <v>48.7709444692501</v>
      </c>
      <c r="S12" s="9" t="n">
        <f aca="false">(P12/Q12)*100</f>
        <v>51.2290555307499</v>
      </c>
    </row>
    <row r="13" customFormat="false" ht="12.8" hidden="false" customHeight="false" outlineLevel="0" collapsed="false">
      <c r="A13" s="6" t="s">
        <v>24</v>
      </c>
      <c r="B13" s="7" t="s">
        <v>41</v>
      </c>
      <c r="C13" s="6" t="s">
        <v>42</v>
      </c>
      <c r="D13" s="7" t="s">
        <v>43</v>
      </c>
      <c r="E13" s="8" t="n">
        <v>8647</v>
      </c>
      <c r="F13" s="8" t="n">
        <v>10251</v>
      </c>
      <c r="G13" s="8" t="n">
        <v>17876</v>
      </c>
      <c r="H13" s="8" t="n">
        <v>16434</v>
      </c>
      <c r="I13" s="8" t="n">
        <v>10472</v>
      </c>
      <c r="J13" s="8" t="n">
        <v>10212</v>
      </c>
      <c r="K13" s="8" t="n">
        <v>5963</v>
      </c>
      <c r="L13" s="8" t="n">
        <v>9189</v>
      </c>
      <c r="M13" s="8" t="n">
        <v>6131</v>
      </c>
      <c r="N13" s="8" t="n">
        <v>6803</v>
      </c>
      <c r="O13" s="8" t="n">
        <f aca="false">E13+G13+I13+K13+M13</f>
        <v>49089</v>
      </c>
      <c r="P13" s="8" t="n">
        <f aca="false">F13+H13+J13+L13+N13</f>
        <v>52889</v>
      </c>
      <c r="Q13" s="8" t="n">
        <f aca="false">SUM(O13:P13)</f>
        <v>101978</v>
      </c>
      <c r="R13" s="9" t="n">
        <f aca="false">(O13/Q13)*100</f>
        <v>48.1368530467356</v>
      </c>
      <c r="S13" s="9" t="n">
        <f aca="false">(P13/Q13)*100</f>
        <v>51.8631469532644</v>
      </c>
    </row>
    <row r="14" customFormat="false" ht="12.8" hidden="false" customHeight="false" outlineLevel="0" collapsed="false">
      <c r="A14" s="6" t="s">
        <v>24</v>
      </c>
      <c r="B14" s="7" t="s">
        <v>41</v>
      </c>
      <c r="C14" s="6" t="s">
        <v>44</v>
      </c>
      <c r="D14" s="7" t="s">
        <v>45</v>
      </c>
      <c r="E14" s="8" t="n">
        <v>7085</v>
      </c>
      <c r="F14" s="8" t="n">
        <v>8035</v>
      </c>
      <c r="G14" s="8" t="n">
        <v>15160</v>
      </c>
      <c r="H14" s="8" t="n">
        <v>14010</v>
      </c>
      <c r="I14" s="8" t="n">
        <v>8747</v>
      </c>
      <c r="J14" s="8" t="n">
        <v>8898</v>
      </c>
      <c r="K14" s="8" t="n">
        <v>4717</v>
      </c>
      <c r="L14" s="8" t="n">
        <v>7240</v>
      </c>
      <c r="M14" s="8" t="n">
        <v>5302</v>
      </c>
      <c r="N14" s="8" t="n">
        <v>5671</v>
      </c>
      <c r="O14" s="8" t="n">
        <f aca="false">E14+G14+I14+K14+M14</f>
        <v>41011</v>
      </c>
      <c r="P14" s="8" t="n">
        <f aca="false">F14+H14+J14+L14+N14</f>
        <v>43854</v>
      </c>
      <c r="Q14" s="8" t="n">
        <f aca="false">SUM(O14:P14)</f>
        <v>84865</v>
      </c>
      <c r="R14" s="9" t="n">
        <f aca="false">(O14/Q14)*100</f>
        <v>48.3249867436517</v>
      </c>
      <c r="S14" s="9" t="n">
        <f aca="false">(P14/Q14)*100</f>
        <v>51.6750132563483</v>
      </c>
    </row>
    <row r="15" customFormat="false" ht="12.8" hidden="false" customHeight="false" outlineLevel="0" collapsed="false">
      <c r="A15" s="6" t="s">
        <v>24</v>
      </c>
      <c r="B15" s="7" t="s">
        <v>41</v>
      </c>
      <c r="C15" s="6" t="s">
        <v>46</v>
      </c>
      <c r="D15" s="7" t="s">
        <v>47</v>
      </c>
      <c r="E15" s="8" t="n">
        <v>3681</v>
      </c>
      <c r="F15" s="8" t="n">
        <v>4823</v>
      </c>
      <c r="G15" s="8" t="n">
        <v>10863</v>
      </c>
      <c r="H15" s="8" t="n">
        <v>8246</v>
      </c>
      <c r="I15" s="8" t="n">
        <v>6047</v>
      </c>
      <c r="J15" s="8" t="n">
        <v>5470</v>
      </c>
      <c r="K15" s="8" t="n">
        <v>4127</v>
      </c>
      <c r="L15" s="8" t="n">
        <v>8062</v>
      </c>
      <c r="M15" s="8" t="n">
        <v>3667</v>
      </c>
      <c r="N15" s="8" t="n">
        <v>5484</v>
      </c>
      <c r="O15" s="8" t="n">
        <f aca="false">E15+G15+I15+K15+M15</f>
        <v>28385</v>
      </c>
      <c r="P15" s="8" t="n">
        <f aca="false">F15+H15+J15+L15+N15</f>
        <v>32085</v>
      </c>
      <c r="Q15" s="8" t="n">
        <f aca="false">SUM(O15:P15)</f>
        <v>60470</v>
      </c>
      <c r="R15" s="9" t="n">
        <f aca="false">(O15/Q15)*100</f>
        <v>46.9406317182074</v>
      </c>
      <c r="S15" s="9" t="n">
        <f aca="false">(P15/Q15)*100</f>
        <v>53.0593682817926</v>
      </c>
    </row>
    <row r="16" customFormat="false" ht="12.8" hidden="false" customHeight="false" outlineLevel="0" collapsed="false">
      <c r="A16" s="6" t="s">
        <v>24</v>
      </c>
      <c r="B16" s="7" t="s">
        <v>41</v>
      </c>
      <c r="C16" s="6" t="s">
        <v>48</v>
      </c>
      <c r="D16" s="7" t="s">
        <v>49</v>
      </c>
      <c r="E16" s="8" t="n">
        <v>3775</v>
      </c>
      <c r="F16" s="8" t="n">
        <v>4447</v>
      </c>
      <c r="G16" s="8" t="n">
        <v>8550</v>
      </c>
      <c r="H16" s="8" t="n">
        <v>7317</v>
      </c>
      <c r="I16" s="8" t="n">
        <v>5226</v>
      </c>
      <c r="J16" s="8" t="n">
        <v>4682</v>
      </c>
      <c r="K16" s="8" t="n">
        <v>2869</v>
      </c>
      <c r="L16" s="8" t="n">
        <v>6187</v>
      </c>
      <c r="M16" s="8" t="n">
        <v>3070</v>
      </c>
      <c r="N16" s="8" t="n">
        <v>4209</v>
      </c>
      <c r="O16" s="8" t="n">
        <f aca="false">E16+G16+I16+K16+M16</f>
        <v>23490</v>
      </c>
      <c r="P16" s="8" t="n">
        <f aca="false">F16+H16+J16+L16+N16</f>
        <v>26842</v>
      </c>
      <c r="Q16" s="8" t="n">
        <f aca="false">SUM(O16:P16)</f>
        <v>50332</v>
      </c>
      <c r="R16" s="9" t="n">
        <f aca="false">(O16/Q16)*100</f>
        <v>46.6701104665024</v>
      </c>
      <c r="S16" s="9" t="n">
        <f aca="false">(P16/Q16)*100</f>
        <v>53.3298895334976</v>
      </c>
    </row>
    <row r="17" customFormat="false" ht="12.8" hidden="false" customHeight="false" outlineLevel="0" collapsed="false">
      <c r="A17" s="6" t="s">
        <v>24</v>
      </c>
      <c r="B17" s="7" t="s">
        <v>41</v>
      </c>
      <c r="C17" s="6" t="s">
        <v>50</v>
      </c>
      <c r="D17" s="7" t="s">
        <v>51</v>
      </c>
      <c r="E17" s="8" t="n">
        <v>3779</v>
      </c>
      <c r="F17" s="8" t="n">
        <v>4162</v>
      </c>
      <c r="G17" s="8" t="n">
        <v>10621</v>
      </c>
      <c r="H17" s="8" t="n">
        <v>5695</v>
      </c>
      <c r="I17" s="8" t="n">
        <v>5970</v>
      </c>
      <c r="J17" s="8" t="n">
        <v>3608</v>
      </c>
      <c r="K17" s="8" t="n">
        <v>3938</v>
      </c>
      <c r="L17" s="8" t="n">
        <v>8825</v>
      </c>
      <c r="M17" s="8" t="n">
        <v>2706</v>
      </c>
      <c r="N17" s="8" t="n">
        <v>5456</v>
      </c>
      <c r="O17" s="8" t="n">
        <f aca="false">E17+G17+I17+K17+M17</f>
        <v>27014</v>
      </c>
      <c r="P17" s="8" t="n">
        <f aca="false">F17+H17+J17+L17+N17</f>
        <v>27746</v>
      </c>
      <c r="Q17" s="8" t="n">
        <f aca="false">SUM(O17:P17)</f>
        <v>54760</v>
      </c>
      <c r="R17" s="9" t="n">
        <f aca="false">(O17/Q17)*100</f>
        <v>49.3316289262235</v>
      </c>
      <c r="S17" s="9" t="n">
        <f aca="false">(P17/Q17)*100</f>
        <v>50.6683710737765</v>
      </c>
    </row>
    <row r="18" customFormat="false" ht="12.8" hidden="false" customHeight="false" outlineLevel="0" collapsed="false">
      <c r="A18" s="6" t="s">
        <v>24</v>
      </c>
      <c r="B18" s="7" t="s">
        <v>41</v>
      </c>
      <c r="C18" s="6" t="s">
        <v>52</v>
      </c>
      <c r="D18" s="7" t="s">
        <v>53</v>
      </c>
      <c r="E18" s="8" t="n">
        <v>7179</v>
      </c>
      <c r="F18" s="8" t="n">
        <v>8121</v>
      </c>
      <c r="G18" s="8" t="n">
        <v>15992</v>
      </c>
      <c r="H18" s="8" t="n">
        <v>15086</v>
      </c>
      <c r="I18" s="8" t="n">
        <v>9084</v>
      </c>
      <c r="J18" s="8" t="n">
        <v>9482</v>
      </c>
      <c r="K18" s="8" t="n">
        <v>4559</v>
      </c>
      <c r="L18" s="8" t="n">
        <v>6700</v>
      </c>
      <c r="M18" s="8" t="n">
        <v>5542</v>
      </c>
      <c r="N18" s="8" t="n">
        <v>5465</v>
      </c>
      <c r="O18" s="8" t="n">
        <f aca="false">E18+G18+I18+K18+M18</f>
        <v>42356</v>
      </c>
      <c r="P18" s="8" t="n">
        <f aca="false">F18+H18+J18+L18+N18</f>
        <v>44854</v>
      </c>
      <c r="Q18" s="8" t="n">
        <f aca="false">SUM(O18:P18)</f>
        <v>87210</v>
      </c>
      <c r="R18" s="9" t="n">
        <f aca="false">(O18/Q18)*100</f>
        <v>48.567824790735</v>
      </c>
      <c r="S18" s="9" t="n">
        <f aca="false">(P18/Q18)*100</f>
        <v>51.432175209265</v>
      </c>
    </row>
    <row r="19" customFormat="false" ht="12.8" hidden="false" customHeight="false" outlineLevel="0" collapsed="false">
      <c r="A19" s="6" t="s">
        <v>24</v>
      </c>
      <c r="B19" s="7" t="s">
        <v>41</v>
      </c>
      <c r="C19" s="6" t="s">
        <v>54</v>
      </c>
      <c r="D19" s="7" t="s">
        <v>55</v>
      </c>
      <c r="E19" s="8" t="n">
        <v>5753</v>
      </c>
      <c r="F19" s="8" t="n">
        <v>6273</v>
      </c>
      <c r="G19" s="8" t="n">
        <v>12000</v>
      </c>
      <c r="H19" s="8" t="n">
        <v>9257</v>
      </c>
      <c r="I19" s="8" t="n">
        <v>7312</v>
      </c>
      <c r="J19" s="8" t="n">
        <v>5776</v>
      </c>
      <c r="K19" s="8" t="n">
        <v>3922</v>
      </c>
      <c r="L19" s="8" t="n">
        <v>7969</v>
      </c>
      <c r="M19" s="8" t="n">
        <v>4138</v>
      </c>
      <c r="N19" s="8" t="n">
        <v>6053</v>
      </c>
      <c r="O19" s="8" t="n">
        <f aca="false">E19+G19+I19+K19+M19</f>
        <v>33125</v>
      </c>
      <c r="P19" s="8" t="n">
        <f aca="false">F19+H19+J19+L19+N19</f>
        <v>35328</v>
      </c>
      <c r="Q19" s="8" t="n">
        <f aca="false">SUM(O19:P19)</f>
        <v>68453</v>
      </c>
      <c r="R19" s="9" t="n">
        <f aca="false">(O19/Q19)*100</f>
        <v>48.3908667260748</v>
      </c>
      <c r="S19" s="9" t="n">
        <f aca="false">(P19/Q19)*100</f>
        <v>51.6091332739252</v>
      </c>
    </row>
    <row r="20" customFormat="false" ht="12.8" hidden="false" customHeight="false" outlineLevel="0" collapsed="false">
      <c r="A20" s="6" t="s">
        <v>26</v>
      </c>
      <c r="B20" s="7" t="s">
        <v>56</v>
      </c>
      <c r="C20" s="6" t="s">
        <v>57</v>
      </c>
      <c r="D20" s="7" t="s">
        <v>58</v>
      </c>
      <c r="E20" s="8" t="n">
        <v>4507</v>
      </c>
      <c r="F20" s="8" t="n">
        <v>4320</v>
      </c>
      <c r="G20" s="8" t="n">
        <v>7638</v>
      </c>
      <c r="H20" s="8" t="n">
        <v>6821</v>
      </c>
      <c r="I20" s="8" t="n">
        <v>4530</v>
      </c>
      <c r="J20" s="8" t="n">
        <v>4592</v>
      </c>
      <c r="K20" s="8" t="n">
        <v>2843</v>
      </c>
      <c r="L20" s="8" t="n">
        <v>4271</v>
      </c>
      <c r="M20" s="8" t="n">
        <v>3062</v>
      </c>
      <c r="N20" s="8" t="n">
        <v>4235</v>
      </c>
      <c r="O20" s="8" t="n">
        <f aca="false">E20+G20+I20+K20+M20</f>
        <v>22580</v>
      </c>
      <c r="P20" s="8" t="n">
        <f aca="false">F20+H20+J20+L20+N20</f>
        <v>24239</v>
      </c>
      <c r="Q20" s="8" t="n">
        <f aca="false">SUM(O20:P20)</f>
        <v>46819</v>
      </c>
      <c r="R20" s="9" t="n">
        <f aca="false">(O20/Q20)*100</f>
        <v>48.2282833892223</v>
      </c>
      <c r="S20" s="9" t="n">
        <f aca="false">(P20/Q20)*100</f>
        <v>51.7717166107777</v>
      </c>
    </row>
    <row r="21" customFormat="false" ht="12.8" hidden="false" customHeight="false" outlineLevel="0" collapsed="false">
      <c r="A21" s="6" t="s">
        <v>26</v>
      </c>
      <c r="B21" s="7" t="s">
        <v>56</v>
      </c>
      <c r="C21" s="6" t="s">
        <v>59</v>
      </c>
      <c r="D21" s="7" t="s">
        <v>60</v>
      </c>
      <c r="E21" s="8" t="n">
        <v>3861</v>
      </c>
      <c r="F21" s="8" t="n">
        <v>3410</v>
      </c>
      <c r="G21" s="8" t="n">
        <v>5762</v>
      </c>
      <c r="H21" s="8" t="n">
        <v>4772</v>
      </c>
      <c r="I21" s="8" t="n">
        <v>3090</v>
      </c>
      <c r="J21" s="8" t="n">
        <v>2934</v>
      </c>
      <c r="K21" s="8" t="n">
        <v>1804</v>
      </c>
      <c r="L21" s="8" t="n">
        <v>3144</v>
      </c>
      <c r="M21" s="8" t="n">
        <v>1761</v>
      </c>
      <c r="N21" s="8" t="n">
        <v>2818</v>
      </c>
      <c r="O21" s="8" t="n">
        <f aca="false">E21+G21+I21+K21+M21</f>
        <v>16278</v>
      </c>
      <c r="P21" s="8" t="n">
        <f aca="false">F21+H21+J21+L21+N21</f>
        <v>17078</v>
      </c>
      <c r="Q21" s="8" t="n">
        <f aca="false">SUM(O21:P21)</f>
        <v>33356</v>
      </c>
      <c r="R21" s="9" t="n">
        <f aca="false">(O21/Q21)*100</f>
        <v>48.8008154454971</v>
      </c>
      <c r="S21" s="9" t="n">
        <f aca="false">(P21/Q21)*100</f>
        <v>51.1991845545029</v>
      </c>
    </row>
    <row r="22" customFormat="false" ht="12.8" hidden="false" customHeight="false" outlineLevel="0" collapsed="false">
      <c r="A22" s="6" t="s">
        <v>26</v>
      </c>
      <c r="B22" s="7" t="s">
        <v>56</v>
      </c>
      <c r="C22" s="6" t="s">
        <v>61</v>
      </c>
      <c r="D22" s="7" t="s">
        <v>62</v>
      </c>
      <c r="E22" s="8" t="n">
        <v>3589</v>
      </c>
      <c r="F22" s="8" t="n">
        <v>3624</v>
      </c>
      <c r="G22" s="8" t="n">
        <v>6902</v>
      </c>
      <c r="H22" s="8" t="n">
        <v>6484</v>
      </c>
      <c r="I22" s="8" t="n">
        <v>3210</v>
      </c>
      <c r="J22" s="8" t="n">
        <v>3542</v>
      </c>
      <c r="K22" s="8" t="n">
        <v>1990</v>
      </c>
      <c r="L22" s="8" t="n">
        <v>3210</v>
      </c>
      <c r="M22" s="8" t="n">
        <v>2110</v>
      </c>
      <c r="N22" s="8" t="n">
        <v>3491</v>
      </c>
      <c r="O22" s="8" t="n">
        <f aca="false">E22+G22+I22+K22+M22</f>
        <v>17801</v>
      </c>
      <c r="P22" s="8" t="n">
        <f aca="false">F22+H22+J22+L22+N22</f>
        <v>20351</v>
      </c>
      <c r="Q22" s="8" t="n">
        <f aca="false">SUM(O22:P22)</f>
        <v>38152</v>
      </c>
      <c r="R22" s="9" t="n">
        <f aca="false">(O22/Q22)*100</f>
        <v>46.6581044244076</v>
      </c>
      <c r="S22" s="9" t="n">
        <f aca="false">(P22/Q22)*100</f>
        <v>53.3418955755924</v>
      </c>
    </row>
    <row r="23" customFormat="false" ht="12.8" hidden="false" customHeight="false" outlineLevel="0" collapsed="false">
      <c r="A23" s="6" t="s">
        <v>28</v>
      </c>
      <c r="B23" s="7" t="s">
        <v>63</v>
      </c>
      <c r="C23" s="6" t="s">
        <v>64</v>
      </c>
      <c r="D23" s="7" t="s">
        <v>65</v>
      </c>
      <c r="E23" s="8" t="n">
        <v>1586</v>
      </c>
      <c r="F23" s="8" t="n">
        <v>1879</v>
      </c>
      <c r="G23" s="8" t="n">
        <v>2662</v>
      </c>
      <c r="H23" s="8" t="n">
        <v>2916</v>
      </c>
      <c r="I23" s="8" t="n">
        <v>1689</v>
      </c>
      <c r="J23" s="8" t="n">
        <v>1796</v>
      </c>
      <c r="K23" s="8" t="n">
        <v>1114</v>
      </c>
      <c r="L23" s="8" t="n">
        <v>1772</v>
      </c>
      <c r="M23" s="8" t="n">
        <v>1084</v>
      </c>
      <c r="N23" s="8" t="n">
        <v>1736</v>
      </c>
      <c r="O23" s="8" t="n">
        <f aca="false">E23+G23+I23+K23+M23</f>
        <v>8135</v>
      </c>
      <c r="P23" s="8" t="n">
        <f aca="false">F23+H23+J23+L23+N23</f>
        <v>10099</v>
      </c>
      <c r="Q23" s="8" t="n">
        <f aca="false">SUM(O23:P23)</f>
        <v>18234</v>
      </c>
      <c r="R23" s="9" t="n">
        <f aca="false">(O23/Q23)*100</f>
        <v>44.6144565098168</v>
      </c>
      <c r="S23" s="9" t="n">
        <f aca="false">(P23/Q23)*100</f>
        <v>55.3855434901832</v>
      </c>
    </row>
    <row r="24" customFormat="false" ht="12.8" hidden="false" customHeight="false" outlineLevel="0" collapsed="false">
      <c r="A24" s="6" t="s">
        <v>28</v>
      </c>
      <c r="B24" s="7" t="s">
        <v>63</v>
      </c>
      <c r="C24" s="6" t="s">
        <v>66</v>
      </c>
      <c r="D24" s="7" t="s">
        <v>67</v>
      </c>
      <c r="E24" s="8" t="n">
        <v>3650</v>
      </c>
      <c r="F24" s="8" t="n">
        <v>4757</v>
      </c>
      <c r="G24" s="8" t="n">
        <v>7717</v>
      </c>
      <c r="H24" s="8" t="n">
        <v>8776</v>
      </c>
      <c r="I24" s="8" t="n">
        <v>4942</v>
      </c>
      <c r="J24" s="8" t="n">
        <v>5975</v>
      </c>
      <c r="K24" s="8" t="n">
        <v>3007</v>
      </c>
      <c r="L24" s="8" t="n">
        <v>4126</v>
      </c>
      <c r="M24" s="8" t="n">
        <v>3771</v>
      </c>
      <c r="N24" s="8" t="n">
        <v>4821</v>
      </c>
      <c r="O24" s="8" t="n">
        <f aca="false">E24+G24+I24+K24+M24</f>
        <v>23087</v>
      </c>
      <c r="P24" s="8" t="n">
        <f aca="false">F24+H24+J24+L24+N24</f>
        <v>28455</v>
      </c>
      <c r="Q24" s="8" t="n">
        <f aca="false">SUM(O24:P24)</f>
        <v>51542</v>
      </c>
      <c r="R24" s="9" t="n">
        <f aca="false">(O24/Q24)*100</f>
        <v>44.7925963292072</v>
      </c>
      <c r="S24" s="9" t="n">
        <f aca="false">(P24/Q24)*100</f>
        <v>55.2074036707928</v>
      </c>
    </row>
    <row r="25" customFormat="false" ht="12.8" hidden="false" customHeight="false" outlineLevel="0" collapsed="false">
      <c r="A25" s="6" t="s">
        <v>30</v>
      </c>
      <c r="B25" s="7" t="s">
        <v>68</v>
      </c>
      <c r="C25" s="6" t="s">
        <v>69</v>
      </c>
      <c r="D25" s="7" t="s">
        <v>70</v>
      </c>
      <c r="E25" s="8" t="n">
        <v>2168</v>
      </c>
      <c r="F25" s="8" t="n">
        <v>2774</v>
      </c>
      <c r="G25" s="8" t="n">
        <v>5388</v>
      </c>
      <c r="H25" s="8" t="n">
        <v>5837</v>
      </c>
      <c r="I25" s="8" t="n">
        <v>3424</v>
      </c>
      <c r="J25" s="8" t="n">
        <v>4082</v>
      </c>
      <c r="K25" s="8" t="n">
        <v>2111</v>
      </c>
      <c r="L25" s="8" t="n">
        <v>2963</v>
      </c>
      <c r="M25" s="8" t="n">
        <v>2614</v>
      </c>
      <c r="N25" s="8" t="n">
        <v>2941</v>
      </c>
      <c r="O25" s="8" t="n">
        <f aca="false">E25+G25+I25+K25+M25</f>
        <v>15705</v>
      </c>
      <c r="P25" s="8" t="n">
        <f aca="false">F25+H25+J25+L25+N25</f>
        <v>18597</v>
      </c>
      <c r="Q25" s="8" t="n">
        <f aca="false">SUM(O25:P25)</f>
        <v>34302</v>
      </c>
      <c r="R25" s="9" t="n">
        <f aca="false">(O25/Q25)*100</f>
        <v>45.7845023613784</v>
      </c>
      <c r="S25" s="9" t="n">
        <f aca="false">(P25/Q25)*100</f>
        <v>54.2154976386217</v>
      </c>
    </row>
    <row r="26" customFormat="false" ht="12.8" hidden="false" customHeight="false" outlineLevel="0" collapsed="false">
      <c r="A26" s="6" t="s">
        <v>30</v>
      </c>
      <c r="B26" s="7" t="s">
        <v>68</v>
      </c>
      <c r="C26" s="6" t="s">
        <v>71</v>
      </c>
      <c r="D26" s="7" t="s">
        <v>72</v>
      </c>
      <c r="E26" s="8" t="n">
        <v>1625</v>
      </c>
      <c r="F26" s="8" t="n">
        <v>2344</v>
      </c>
      <c r="G26" s="8" t="n">
        <v>3346</v>
      </c>
      <c r="H26" s="8" t="n">
        <v>4128</v>
      </c>
      <c r="I26" s="8" t="n">
        <v>2782</v>
      </c>
      <c r="J26" s="8" t="n">
        <v>2970</v>
      </c>
      <c r="K26" s="8" t="n">
        <v>2475</v>
      </c>
      <c r="L26" s="8" t="n">
        <v>4227</v>
      </c>
      <c r="M26" s="8" t="n">
        <v>2369</v>
      </c>
      <c r="N26" s="8" t="n">
        <v>3645</v>
      </c>
      <c r="O26" s="8" t="n">
        <f aca="false">E26+G26+I26+K26+M26</f>
        <v>12597</v>
      </c>
      <c r="P26" s="8" t="n">
        <f aca="false">F26+H26+J26+L26+N26</f>
        <v>17314</v>
      </c>
      <c r="Q26" s="8" t="n">
        <f aca="false">SUM(O26:P26)</f>
        <v>29911</v>
      </c>
      <c r="R26" s="9" t="n">
        <f aca="false">(O26/Q26)*100</f>
        <v>42.1149409916084</v>
      </c>
      <c r="S26" s="9" t="n">
        <f aca="false">(P26/Q26)*100</f>
        <v>57.8850590083916</v>
      </c>
    </row>
    <row r="27" customFormat="false" ht="12.8" hidden="false" customHeight="false" outlineLevel="0" collapsed="false">
      <c r="A27" s="6" t="s">
        <v>30</v>
      </c>
      <c r="B27" s="7" t="s">
        <v>68</v>
      </c>
      <c r="C27" s="6" t="s">
        <v>73</v>
      </c>
      <c r="D27" s="7" t="s">
        <v>74</v>
      </c>
      <c r="E27" s="8" t="n">
        <v>2300</v>
      </c>
      <c r="F27" s="8" t="n">
        <v>3019</v>
      </c>
      <c r="G27" s="8" t="n">
        <v>4791</v>
      </c>
      <c r="H27" s="8" t="n">
        <v>5616</v>
      </c>
      <c r="I27" s="8" t="n">
        <v>3757</v>
      </c>
      <c r="J27" s="8" t="n">
        <v>4155</v>
      </c>
      <c r="K27" s="8" t="n">
        <v>3024</v>
      </c>
      <c r="L27" s="8" t="n">
        <v>5058</v>
      </c>
      <c r="M27" s="8" t="n">
        <v>3064</v>
      </c>
      <c r="N27" s="8" t="n">
        <v>4247</v>
      </c>
      <c r="O27" s="8" t="n">
        <f aca="false">E27+G27+I27+K27+M27</f>
        <v>16936</v>
      </c>
      <c r="P27" s="8" t="n">
        <f aca="false">F27+H27+J27+L27+N27</f>
        <v>22095</v>
      </c>
      <c r="Q27" s="8" t="n">
        <f aca="false">SUM(O27:P27)</f>
        <v>39031</v>
      </c>
      <c r="R27" s="9" t="n">
        <f aca="false">(O27/Q27)*100</f>
        <v>43.3911506238631</v>
      </c>
      <c r="S27" s="9" t="n">
        <f aca="false">(P27/Q27)*100</f>
        <v>56.6088493761369</v>
      </c>
    </row>
    <row r="28" customFormat="false" ht="12.8" hidden="false" customHeight="false" outlineLevel="0" collapsed="false">
      <c r="A28" s="6" t="s">
        <v>30</v>
      </c>
      <c r="B28" s="7" t="s">
        <v>68</v>
      </c>
      <c r="C28" s="6" t="s">
        <v>75</v>
      </c>
      <c r="D28" s="7" t="s">
        <v>76</v>
      </c>
      <c r="E28" s="8" t="n">
        <v>3478</v>
      </c>
      <c r="F28" s="8" t="n">
        <v>4388</v>
      </c>
      <c r="G28" s="8" t="n">
        <v>7906</v>
      </c>
      <c r="H28" s="8" t="n">
        <v>8958</v>
      </c>
      <c r="I28" s="8" t="n">
        <v>5260</v>
      </c>
      <c r="J28" s="8" t="n">
        <v>5762</v>
      </c>
      <c r="K28" s="8" t="n">
        <v>3505</v>
      </c>
      <c r="L28" s="8" t="n">
        <v>4841</v>
      </c>
      <c r="M28" s="8" t="n">
        <v>3823</v>
      </c>
      <c r="N28" s="8" t="n">
        <v>4551</v>
      </c>
      <c r="O28" s="8" t="n">
        <f aca="false">E28+G28+I28+K28+M28</f>
        <v>23972</v>
      </c>
      <c r="P28" s="8" t="n">
        <f aca="false">F28+H28+J28+L28+N28</f>
        <v>28500</v>
      </c>
      <c r="Q28" s="8" t="n">
        <f aca="false">SUM(O28:P28)</f>
        <v>52472</v>
      </c>
      <c r="R28" s="9" t="n">
        <f aca="false">(O28/Q28)*100</f>
        <v>45.6853178838238</v>
      </c>
      <c r="S28" s="9" t="n">
        <f aca="false">(P28/Q28)*100</f>
        <v>54.3146821161763</v>
      </c>
    </row>
    <row r="29" customFormat="false" ht="12.8" hidden="false" customHeight="false" outlineLevel="0" collapsed="false">
      <c r="A29" s="6" t="s">
        <v>33</v>
      </c>
      <c r="B29" s="7" t="s">
        <v>77</v>
      </c>
      <c r="C29" s="6" t="s">
        <v>78</v>
      </c>
      <c r="D29" s="7" t="s">
        <v>79</v>
      </c>
      <c r="E29" s="8" t="n">
        <v>5516</v>
      </c>
      <c r="F29" s="8" t="n">
        <v>6494</v>
      </c>
      <c r="G29" s="8" t="n">
        <v>9689</v>
      </c>
      <c r="H29" s="8" t="n">
        <v>9823</v>
      </c>
      <c r="I29" s="8" t="n">
        <v>5178</v>
      </c>
      <c r="J29" s="8" t="n">
        <v>4967</v>
      </c>
      <c r="K29" s="8" t="n">
        <v>2731</v>
      </c>
      <c r="L29" s="8" t="n">
        <v>3580</v>
      </c>
      <c r="M29" s="8" t="n">
        <v>2750</v>
      </c>
      <c r="N29" s="8" t="n">
        <v>3563</v>
      </c>
      <c r="O29" s="8" t="n">
        <f aca="false">E29+G29+I29+K29+M29</f>
        <v>25864</v>
      </c>
      <c r="P29" s="8" t="n">
        <f aca="false">F29+H29+J29+L29+N29</f>
        <v>28427</v>
      </c>
      <c r="Q29" s="8" t="n">
        <f aca="false">SUM(O29:P29)</f>
        <v>54291</v>
      </c>
      <c r="R29" s="9" t="n">
        <f aca="false">(O29/Q29)*100</f>
        <v>47.6395719364167</v>
      </c>
      <c r="S29" s="9" t="n">
        <f aca="false">(P29/Q29)*100</f>
        <v>52.3604280635833</v>
      </c>
    </row>
    <row r="30" customFormat="false" ht="12.8" hidden="false" customHeight="false" outlineLevel="0" collapsed="false">
      <c r="A30" s="6" t="s">
        <v>33</v>
      </c>
      <c r="B30" s="7" t="s">
        <v>77</v>
      </c>
      <c r="C30" s="6" t="s">
        <v>80</v>
      </c>
      <c r="D30" s="7" t="s">
        <v>81</v>
      </c>
      <c r="E30" s="8" t="n">
        <v>2148</v>
      </c>
      <c r="F30" s="8" t="n">
        <v>2301</v>
      </c>
      <c r="G30" s="8" t="n">
        <v>3869</v>
      </c>
      <c r="H30" s="8" t="n">
        <v>4323</v>
      </c>
      <c r="I30" s="8" t="n">
        <v>1440</v>
      </c>
      <c r="J30" s="8" t="n">
        <v>1883</v>
      </c>
      <c r="K30" s="8" t="n">
        <v>740</v>
      </c>
      <c r="L30" s="8" t="n">
        <v>1052</v>
      </c>
      <c r="M30" s="8" t="n">
        <v>873</v>
      </c>
      <c r="N30" s="8" t="n">
        <v>1516</v>
      </c>
      <c r="O30" s="8" t="n">
        <f aca="false">E30+G30+I30+K30+M30</f>
        <v>9070</v>
      </c>
      <c r="P30" s="8" t="n">
        <f aca="false">F30+H30+J30+L30+N30</f>
        <v>11075</v>
      </c>
      <c r="Q30" s="8" t="n">
        <f aca="false">SUM(O30:P30)</f>
        <v>20145</v>
      </c>
      <c r="R30" s="9" t="n">
        <f aca="false">(O30/Q30)*100</f>
        <v>45.0235790518739</v>
      </c>
      <c r="S30" s="9" t="n">
        <f aca="false">(P30/Q30)*100</f>
        <v>54.9764209481261</v>
      </c>
    </row>
    <row r="31" customFormat="false" ht="12.8" hidden="false" customHeight="false" outlineLevel="0" collapsed="false">
      <c r="A31" s="6" t="s">
        <v>33</v>
      </c>
      <c r="B31" s="7" t="s">
        <v>77</v>
      </c>
      <c r="C31" s="6" t="s">
        <v>82</v>
      </c>
      <c r="D31" s="7" t="s">
        <v>83</v>
      </c>
      <c r="E31" s="8" t="n">
        <v>1898</v>
      </c>
      <c r="F31" s="8" t="n">
        <v>2322</v>
      </c>
      <c r="G31" s="8" t="n">
        <v>3481</v>
      </c>
      <c r="H31" s="8" t="n">
        <v>3891</v>
      </c>
      <c r="I31" s="8" t="n">
        <v>1993</v>
      </c>
      <c r="J31" s="8" t="n">
        <v>2188</v>
      </c>
      <c r="K31" s="8" t="n">
        <v>759</v>
      </c>
      <c r="L31" s="8" t="n">
        <v>1289</v>
      </c>
      <c r="M31" s="8" t="n">
        <v>1112</v>
      </c>
      <c r="N31" s="8" t="n">
        <v>1614</v>
      </c>
      <c r="O31" s="8" t="n">
        <f aca="false">E31+G31+I31+K31+M31</f>
        <v>9243</v>
      </c>
      <c r="P31" s="8" t="n">
        <f aca="false">F31+H31+J31+L31+N31</f>
        <v>11304</v>
      </c>
      <c r="Q31" s="8" t="n">
        <f aca="false">SUM(O31:P31)</f>
        <v>20547</v>
      </c>
      <c r="R31" s="9" t="n">
        <f aca="false">(O31/Q31)*100</f>
        <v>44.9846692947876</v>
      </c>
      <c r="S31" s="9" t="n">
        <f aca="false">(P31/Q31)*100</f>
        <v>55.0153307052124</v>
      </c>
    </row>
    <row r="32" customFormat="false" ht="12.8" hidden="false" customHeight="false" outlineLevel="0" collapsed="false">
      <c r="A32" s="6" t="s">
        <v>33</v>
      </c>
      <c r="B32" s="7" t="s">
        <v>77</v>
      </c>
      <c r="C32" s="6" t="s">
        <v>84</v>
      </c>
      <c r="D32" s="7" t="s">
        <v>85</v>
      </c>
      <c r="E32" s="8" t="n">
        <v>3237</v>
      </c>
      <c r="F32" s="8" t="n">
        <v>3567</v>
      </c>
      <c r="G32" s="8" t="n">
        <v>3645</v>
      </c>
      <c r="H32" s="8" t="n">
        <v>4782</v>
      </c>
      <c r="I32" s="8" t="n">
        <v>2352</v>
      </c>
      <c r="J32" s="8" t="n">
        <v>2904</v>
      </c>
      <c r="K32" s="8" t="n">
        <v>916</v>
      </c>
      <c r="L32" s="8" t="n">
        <v>1176</v>
      </c>
      <c r="M32" s="8" t="n">
        <v>1396</v>
      </c>
      <c r="N32" s="8" t="n">
        <v>1787</v>
      </c>
      <c r="O32" s="8" t="n">
        <f aca="false">E32+G32+I32+K32+M32</f>
        <v>11546</v>
      </c>
      <c r="P32" s="8" t="n">
        <f aca="false">F32+H32+J32+L32+N32</f>
        <v>14216</v>
      </c>
      <c r="Q32" s="8" t="n">
        <f aca="false">SUM(O32:P32)</f>
        <v>25762</v>
      </c>
      <c r="R32" s="9" t="n">
        <f aca="false">(O32/Q32)*100</f>
        <v>44.8179489170096</v>
      </c>
      <c r="S32" s="9" t="n">
        <f aca="false">(P32/Q32)*100</f>
        <v>55.1820510829904</v>
      </c>
    </row>
    <row r="33" customFormat="false" ht="12.8" hidden="false" customHeight="false" outlineLevel="0" collapsed="false">
      <c r="A33" s="6" t="s">
        <v>33</v>
      </c>
      <c r="B33" s="7" t="s">
        <v>77</v>
      </c>
      <c r="C33" s="6" t="s">
        <v>86</v>
      </c>
      <c r="D33" s="7" t="s">
        <v>87</v>
      </c>
      <c r="E33" s="8" t="n">
        <v>2002</v>
      </c>
      <c r="F33" s="8" t="n">
        <v>2314</v>
      </c>
      <c r="G33" s="8" t="n">
        <v>3176</v>
      </c>
      <c r="H33" s="8" t="n">
        <v>3865</v>
      </c>
      <c r="I33" s="8" t="n">
        <v>1605</v>
      </c>
      <c r="J33" s="8" t="n">
        <v>2051</v>
      </c>
      <c r="K33" s="8" t="n">
        <v>952</v>
      </c>
      <c r="L33" s="8" t="n">
        <v>1259</v>
      </c>
      <c r="M33" s="8" t="n">
        <v>1067</v>
      </c>
      <c r="N33" s="8" t="n">
        <v>1592</v>
      </c>
      <c r="O33" s="8" t="n">
        <f aca="false">E33+G33+I33+K33+M33</f>
        <v>8802</v>
      </c>
      <c r="P33" s="8" t="n">
        <f aca="false">F33+H33+J33+L33+N33</f>
        <v>11081</v>
      </c>
      <c r="Q33" s="8" t="n">
        <f aca="false">SUM(O33:P33)</f>
        <v>19883</v>
      </c>
      <c r="R33" s="9" t="n">
        <f aca="false">(O33/Q33)*100</f>
        <v>44.2689734949454</v>
      </c>
      <c r="S33" s="9" t="n">
        <f aca="false">(P33/Q33)*100</f>
        <v>55.7310265050546</v>
      </c>
    </row>
    <row r="34" customFormat="false" ht="12.8" hidden="false" customHeight="false" outlineLevel="0" collapsed="false">
      <c r="A34" s="6" t="s">
        <v>33</v>
      </c>
      <c r="B34" s="7" t="s">
        <v>77</v>
      </c>
      <c r="C34" s="6" t="s">
        <v>88</v>
      </c>
      <c r="D34" s="7" t="s">
        <v>89</v>
      </c>
      <c r="E34" s="8" t="n">
        <v>2382</v>
      </c>
      <c r="F34" s="8" t="n">
        <v>2377</v>
      </c>
      <c r="G34" s="8" t="n">
        <v>3776</v>
      </c>
      <c r="H34" s="8" t="n">
        <v>3491</v>
      </c>
      <c r="I34" s="8" t="n">
        <v>2114</v>
      </c>
      <c r="J34" s="8" t="n">
        <v>1961</v>
      </c>
      <c r="K34" s="8" t="n">
        <v>1407</v>
      </c>
      <c r="L34" s="8" t="n">
        <v>1997</v>
      </c>
      <c r="M34" s="8" t="n">
        <v>1236</v>
      </c>
      <c r="N34" s="8" t="n">
        <v>1981</v>
      </c>
      <c r="O34" s="8" t="n">
        <f aca="false">E34+G34+I34+K34+M34</f>
        <v>10915</v>
      </c>
      <c r="P34" s="8" t="n">
        <f aca="false">F34+H34+J34+L34+N34</f>
        <v>11807</v>
      </c>
      <c r="Q34" s="8" t="n">
        <f aca="false">SUM(O34:P34)</f>
        <v>22722</v>
      </c>
      <c r="R34" s="9" t="n">
        <f aca="false">(O34/Q34)*100</f>
        <v>48.0371446175513</v>
      </c>
      <c r="S34" s="9" t="n">
        <f aca="false">(P34/Q34)*100</f>
        <v>51.9628553824487</v>
      </c>
    </row>
    <row r="35" customFormat="false" ht="12.8" hidden="false" customHeight="false" outlineLevel="0" collapsed="false">
      <c r="A35" s="6" t="s">
        <v>35</v>
      </c>
      <c r="B35" s="7" t="s">
        <v>90</v>
      </c>
      <c r="C35" s="6" t="s">
        <v>91</v>
      </c>
      <c r="D35" s="7" t="s">
        <v>92</v>
      </c>
      <c r="E35" s="8" t="n">
        <v>2620</v>
      </c>
      <c r="F35" s="8" t="n">
        <v>3050</v>
      </c>
      <c r="G35" s="8" t="n">
        <v>4365</v>
      </c>
      <c r="H35" s="8" t="n">
        <v>4513</v>
      </c>
      <c r="I35" s="8" t="n">
        <v>1907</v>
      </c>
      <c r="J35" s="8" t="n">
        <v>2058</v>
      </c>
      <c r="K35" s="8" t="n">
        <v>1170</v>
      </c>
      <c r="L35" s="8" t="n">
        <v>1807</v>
      </c>
      <c r="M35" s="8" t="n">
        <v>1153</v>
      </c>
      <c r="N35" s="8" t="n">
        <v>1907</v>
      </c>
      <c r="O35" s="8" t="n">
        <f aca="false">E35+G35+I35+K35+M35</f>
        <v>11215</v>
      </c>
      <c r="P35" s="8" t="n">
        <f aca="false">F35+H35+J35+L35+N35</f>
        <v>13335</v>
      </c>
      <c r="Q35" s="8" t="n">
        <f aca="false">SUM(O35:P35)</f>
        <v>24550</v>
      </c>
      <c r="R35" s="9" t="n">
        <f aca="false">(O35/Q35)*100</f>
        <v>45.6822810590631</v>
      </c>
      <c r="S35" s="9" t="n">
        <f aca="false">(P35/Q35)*100</f>
        <v>54.3177189409369</v>
      </c>
    </row>
    <row r="36" customFormat="false" ht="12.8" hidden="false" customHeight="false" outlineLevel="0" collapsed="false">
      <c r="A36" s="6" t="s">
        <v>35</v>
      </c>
      <c r="B36" s="7" t="s">
        <v>90</v>
      </c>
      <c r="C36" s="6" t="s">
        <v>93</v>
      </c>
      <c r="D36" s="7" t="s">
        <v>94</v>
      </c>
      <c r="E36" s="8" t="n">
        <v>2082</v>
      </c>
      <c r="F36" s="8" t="n">
        <v>2677</v>
      </c>
      <c r="G36" s="8" t="n">
        <v>4876</v>
      </c>
      <c r="H36" s="8" t="n">
        <v>5517</v>
      </c>
      <c r="I36" s="8" t="n">
        <v>2157</v>
      </c>
      <c r="J36" s="8" t="n">
        <v>2446</v>
      </c>
      <c r="K36" s="8" t="n">
        <v>1272</v>
      </c>
      <c r="L36" s="8" t="n">
        <v>2115</v>
      </c>
      <c r="M36" s="8" t="n">
        <v>1479</v>
      </c>
      <c r="N36" s="8" t="n">
        <v>2343</v>
      </c>
      <c r="O36" s="8" t="n">
        <f aca="false">E36+G36+I36+K36+M36</f>
        <v>11866</v>
      </c>
      <c r="P36" s="8" t="n">
        <f aca="false">F36+H36+J36+L36+N36</f>
        <v>15098</v>
      </c>
      <c r="Q36" s="8" t="n">
        <f aca="false">SUM(O36:P36)</f>
        <v>26964</v>
      </c>
      <c r="R36" s="9" t="n">
        <f aca="false">(O36/Q36)*100</f>
        <v>44.006823913366</v>
      </c>
      <c r="S36" s="9" t="n">
        <f aca="false">(P36/Q36)*100</f>
        <v>55.993176086634</v>
      </c>
    </row>
    <row r="37" customFormat="false" ht="12.8" hidden="false" customHeight="false" outlineLevel="0" collapsed="false">
      <c r="A37" s="6" t="s">
        <v>35</v>
      </c>
      <c r="B37" s="7" t="s">
        <v>90</v>
      </c>
      <c r="C37" s="6" t="s">
        <v>95</v>
      </c>
      <c r="D37" s="7" t="s">
        <v>96</v>
      </c>
      <c r="E37" s="8" t="n">
        <v>1705</v>
      </c>
      <c r="F37" s="8" t="n">
        <v>1580</v>
      </c>
      <c r="G37" s="8" t="n">
        <v>4220</v>
      </c>
      <c r="H37" s="8" t="n">
        <v>3981</v>
      </c>
      <c r="I37" s="8" t="n">
        <v>1534</v>
      </c>
      <c r="J37" s="8" t="n">
        <v>1627</v>
      </c>
      <c r="K37" s="8" t="n">
        <v>920</v>
      </c>
      <c r="L37" s="8" t="n">
        <v>1356</v>
      </c>
      <c r="M37" s="8" t="n">
        <v>1032</v>
      </c>
      <c r="N37" s="8" t="n">
        <v>1744</v>
      </c>
      <c r="O37" s="8" t="n">
        <f aca="false">E37+G37+I37+K37+M37</f>
        <v>9411</v>
      </c>
      <c r="P37" s="8" t="n">
        <f aca="false">F37+H37+J37+L37+N37</f>
        <v>10288</v>
      </c>
      <c r="Q37" s="8" t="n">
        <f aca="false">SUM(O37:P37)</f>
        <v>19699</v>
      </c>
      <c r="R37" s="9" t="n">
        <f aca="false">(O37/Q37)*100</f>
        <v>47.7739986801361</v>
      </c>
      <c r="S37" s="9" t="n">
        <f aca="false">(P37/Q37)*100</f>
        <v>52.226001319864</v>
      </c>
    </row>
    <row r="38" customFormat="false" ht="12.8" hidden="false" customHeight="false" outlineLevel="0" collapsed="false">
      <c r="A38" s="6" t="s">
        <v>35</v>
      </c>
      <c r="B38" s="7" t="s">
        <v>90</v>
      </c>
      <c r="C38" s="6" t="s">
        <v>97</v>
      </c>
      <c r="D38" s="7" t="s">
        <v>98</v>
      </c>
      <c r="E38" s="8" t="n">
        <v>2116</v>
      </c>
      <c r="F38" s="8" t="n">
        <v>2503</v>
      </c>
      <c r="G38" s="8" t="n">
        <v>5386</v>
      </c>
      <c r="H38" s="8" t="n">
        <v>5101</v>
      </c>
      <c r="I38" s="8" t="n">
        <v>2398</v>
      </c>
      <c r="J38" s="8" t="n">
        <v>2440</v>
      </c>
      <c r="K38" s="8" t="n">
        <v>1284</v>
      </c>
      <c r="L38" s="8" t="n">
        <v>2349</v>
      </c>
      <c r="M38" s="8" t="n">
        <v>1379</v>
      </c>
      <c r="N38" s="8" t="n">
        <v>2588</v>
      </c>
      <c r="O38" s="8" t="n">
        <f aca="false">E38+G38+I38+K38+M38</f>
        <v>12563</v>
      </c>
      <c r="P38" s="8" t="n">
        <f aca="false">F38+H38+J38+L38+N38</f>
        <v>14981</v>
      </c>
      <c r="Q38" s="8" t="n">
        <f aca="false">SUM(O38:P38)</f>
        <v>27544</v>
      </c>
      <c r="R38" s="9" t="n">
        <f aca="false">(O38/Q38)*100</f>
        <v>45.6106593087424</v>
      </c>
      <c r="S38" s="9" t="n">
        <f aca="false">(P38/Q38)*100</f>
        <v>54.3893406912576</v>
      </c>
    </row>
    <row r="39" customFormat="false" ht="12.8" hidden="false" customHeight="false" outlineLevel="0" collapsed="false">
      <c r="A39" s="6" t="s">
        <v>35</v>
      </c>
      <c r="B39" s="7" t="s">
        <v>90</v>
      </c>
      <c r="C39" s="6" t="s">
        <v>99</v>
      </c>
      <c r="D39" s="7" t="s">
        <v>100</v>
      </c>
      <c r="E39" s="8" t="n">
        <v>1807</v>
      </c>
      <c r="F39" s="8" t="n">
        <v>2040</v>
      </c>
      <c r="G39" s="8" t="n">
        <v>3428</v>
      </c>
      <c r="H39" s="8" t="n">
        <v>3596</v>
      </c>
      <c r="I39" s="8" t="n">
        <v>1613</v>
      </c>
      <c r="J39" s="8" t="n">
        <v>1729</v>
      </c>
      <c r="K39" s="8" t="n">
        <v>753</v>
      </c>
      <c r="L39" s="8" t="n">
        <v>1274</v>
      </c>
      <c r="M39" s="8" t="n">
        <v>900</v>
      </c>
      <c r="N39" s="8" t="n">
        <v>1536</v>
      </c>
      <c r="O39" s="8" t="n">
        <f aca="false">E39+G39+I39+K39+M39</f>
        <v>8501</v>
      </c>
      <c r="P39" s="8" t="n">
        <f aca="false">F39+H39+J39+L39+N39</f>
        <v>10175</v>
      </c>
      <c r="Q39" s="8" t="n">
        <f aca="false">SUM(O39:P39)</f>
        <v>18676</v>
      </c>
      <c r="R39" s="9" t="n">
        <f aca="false">(O39/Q39)*100</f>
        <v>45.5183122724352</v>
      </c>
      <c r="S39" s="9" t="n">
        <f aca="false">(P39/Q39)*100</f>
        <v>54.4816877275648</v>
      </c>
    </row>
    <row r="40" customFormat="false" ht="12.8" hidden="false" customHeight="false" outlineLevel="0" collapsed="false">
      <c r="A40" s="6" t="s">
        <v>35</v>
      </c>
      <c r="B40" s="7" t="s">
        <v>90</v>
      </c>
      <c r="C40" s="6" t="s">
        <v>101</v>
      </c>
      <c r="D40" s="7" t="s">
        <v>102</v>
      </c>
      <c r="E40" s="8" t="n">
        <v>4886</v>
      </c>
      <c r="F40" s="8" t="n">
        <v>5278</v>
      </c>
      <c r="G40" s="8" t="n">
        <v>7694</v>
      </c>
      <c r="H40" s="8" t="n">
        <v>8901</v>
      </c>
      <c r="I40" s="8" t="n">
        <v>3634</v>
      </c>
      <c r="J40" s="8" t="n">
        <v>4146</v>
      </c>
      <c r="K40" s="8" t="n">
        <v>1960</v>
      </c>
      <c r="L40" s="8" t="n">
        <v>2689</v>
      </c>
      <c r="M40" s="8" t="n">
        <v>2553</v>
      </c>
      <c r="N40" s="8" t="n">
        <v>3728</v>
      </c>
      <c r="O40" s="8" t="n">
        <f aca="false">E40+G40+I40+K40+M40</f>
        <v>20727</v>
      </c>
      <c r="P40" s="8" t="n">
        <f aca="false">F40+H40+J40+L40+N40</f>
        <v>24742</v>
      </c>
      <c r="Q40" s="8" t="n">
        <f aca="false">SUM(O40:P40)</f>
        <v>45469</v>
      </c>
      <c r="R40" s="9" t="n">
        <f aca="false">(O40/Q40)*100</f>
        <v>45.5849040005278</v>
      </c>
      <c r="S40" s="9" t="n">
        <f aca="false">(P40/Q40)*100</f>
        <v>54.4150959994722</v>
      </c>
    </row>
    <row r="41" customFormat="false" ht="12.8" hidden="false" customHeight="false" outlineLevel="0" collapsed="false">
      <c r="A41" s="6" t="s">
        <v>37</v>
      </c>
      <c r="B41" s="7" t="s">
        <v>103</v>
      </c>
      <c r="C41" s="6" t="s">
        <v>104</v>
      </c>
      <c r="D41" s="7" t="s">
        <v>105</v>
      </c>
      <c r="E41" s="8" t="n">
        <v>3381</v>
      </c>
      <c r="F41" s="8" t="n">
        <v>3276</v>
      </c>
      <c r="G41" s="8" t="n">
        <v>5391</v>
      </c>
      <c r="H41" s="8" t="n">
        <v>4936</v>
      </c>
      <c r="I41" s="8" t="n">
        <v>1871</v>
      </c>
      <c r="J41" s="8" t="n">
        <v>2200</v>
      </c>
      <c r="K41" s="8" t="n">
        <v>830</v>
      </c>
      <c r="L41" s="8" t="n">
        <v>1796</v>
      </c>
      <c r="M41" s="8" t="n">
        <v>1039</v>
      </c>
      <c r="N41" s="8" t="n">
        <v>2096</v>
      </c>
      <c r="O41" s="8" t="n">
        <f aca="false">E41+G41+I41+K41+M41</f>
        <v>12512</v>
      </c>
      <c r="P41" s="8" t="n">
        <f aca="false">F41+H41+J41+L41+N41</f>
        <v>14304</v>
      </c>
      <c r="Q41" s="8" t="n">
        <f aca="false">SUM(O41:P41)</f>
        <v>26816</v>
      </c>
      <c r="R41" s="9" t="n">
        <f aca="false">(O41/Q41)*100</f>
        <v>46.6587112171838</v>
      </c>
      <c r="S41" s="9" t="n">
        <f aca="false">(P41/Q41)*100</f>
        <v>53.3412887828162</v>
      </c>
    </row>
    <row r="42" customFormat="false" ht="12.8" hidden="false" customHeight="false" outlineLevel="0" collapsed="false">
      <c r="A42" s="6" t="s">
        <v>37</v>
      </c>
      <c r="B42" s="7" t="s">
        <v>103</v>
      </c>
      <c r="C42" s="6" t="s">
        <v>106</v>
      </c>
      <c r="D42" s="7" t="s">
        <v>107</v>
      </c>
      <c r="E42" s="8" t="n">
        <v>2814</v>
      </c>
      <c r="F42" s="8" t="n">
        <v>2572</v>
      </c>
      <c r="G42" s="8" t="n">
        <v>3126</v>
      </c>
      <c r="H42" s="8" t="n">
        <v>3372</v>
      </c>
      <c r="I42" s="8" t="n">
        <v>1179</v>
      </c>
      <c r="J42" s="8" t="n">
        <v>1648</v>
      </c>
      <c r="K42" s="8" t="n">
        <v>565</v>
      </c>
      <c r="L42" s="8" t="n">
        <v>1003</v>
      </c>
      <c r="M42" s="8" t="n">
        <v>799</v>
      </c>
      <c r="N42" s="8" t="n">
        <v>1398</v>
      </c>
      <c r="O42" s="8" t="n">
        <f aca="false">E42+G42+I42+K42+M42</f>
        <v>8483</v>
      </c>
      <c r="P42" s="8" t="n">
        <f aca="false">F42+H42+J42+L42+N42</f>
        <v>9993</v>
      </c>
      <c r="Q42" s="8" t="n">
        <f aca="false">SUM(O42:P42)</f>
        <v>18476</v>
      </c>
      <c r="R42" s="9" t="n">
        <f aca="false">(O42/Q42)*100</f>
        <v>45.9136176661615</v>
      </c>
      <c r="S42" s="9" t="n">
        <f aca="false">(P42/Q42)*100</f>
        <v>54.0863823338385</v>
      </c>
    </row>
    <row r="43" customFormat="false" ht="12.8" hidden="false" customHeight="false" outlineLevel="0" collapsed="false">
      <c r="A43" s="6" t="s">
        <v>37</v>
      </c>
      <c r="B43" s="7" t="s">
        <v>103</v>
      </c>
      <c r="C43" s="6" t="s">
        <v>108</v>
      </c>
      <c r="D43" s="7" t="s">
        <v>109</v>
      </c>
      <c r="E43" s="8" t="n">
        <v>5618</v>
      </c>
      <c r="F43" s="8" t="n">
        <v>7761</v>
      </c>
      <c r="G43" s="8" t="n">
        <v>8374</v>
      </c>
      <c r="H43" s="8" t="n">
        <v>10268</v>
      </c>
      <c r="I43" s="8" t="n">
        <v>3821</v>
      </c>
      <c r="J43" s="8" t="n">
        <v>4800</v>
      </c>
      <c r="K43" s="8" t="n">
        <v>1971</v>
      </c>
      <c r="L43" s="8" t="n">
        <v>2967</v>
      </c>
      <c r="M43" s="8" t="n">
        <v>2231</v>
      </c>
      <c r="N43" s="8" t="n">
        <v>3420</v>
      </c>
      <c r="O43" s="8" t="n">
        <f aca="false">E43+G43+I43+K43+M43</f>
        <v>22015</v>
      </c>
      <c r="P43" s="8" t="n">
        <f aca="false">F43+H43+J43+L43+N43</f>
        <v>29216</v>
      </c>
      <c r="Q43" s="8" t="n">
        <f aca="false">SUM(O43:P43)</f>
        <v>51231</v>
      </c>
      <c r="R43" s="9" t="n">
        <f aca="false">(O43/Q43)*100</f>
        <v>42.9720286545256</v>
      </c>
      <c r="S43" s="9" t="n">
        <f aca="false">(P43/Q43)*100</f>
        <v>57.0279713454744</v>
      </c>
    </row>
    <row r="44" customFormat="false" ht="12.8" hidden="false" customHeight="false" outlineLevel="0" collapsed="false">
      <c r="A44" s="6" t="s">
        <v>37</v>
      </c>
      <c r="B44" s="7" t="s">
        <v>103</v>
      </c>
      <c r="C44" s="6" t="s">
        <v>110</v>
      </c>
      <c r="D44" s="7" t="s">
        <v>111</v>
      </c>
      <c r="E44" s="8" t="n">
        <v>3035</v>
      </c>
      <c r="F44" s="8" t="n">
        <v>3181</v>
      </c>
      <c r="G44" s="8" t="n">
        <v>4727</v>
      </c>
      <c r="H44" s="8" t="n">
        <v>4357</v>
      </c>
      <c r="I44" s="8" t="n">
        <v>2219</v>
      </c>
      <c r="J44" s="8" t="n">
        <v>2306</v>
      </c>
      <c r="K44" s="8" t="n">
        <v>1071</v>
      </c>
      <c r="L44" s="8" t="n">
        <v>1954</v>
      </c>
      <c r="M44" s="8" t="n">
        <v>1105</v>
      </c>
      <c r="N44" s="8" t="n">
        <v>1878</v>
      </c>
      <c r="O44" s="8" t="n">
        <f aca="false">E44+G44+I44+K44+M44</f>
        <v>12157</v>
      </c>
      <c r="P44" s="8" t="n">
        <f aca="false">F44+H44+J44+L44+N44</f>
        <v>13676</v>
      </c>
      <c r="Q44" s="8" t="n">
        <f aca="false">SUM(O44:P44)</f>
        <v>25833</v>
      </c>
      <c r="R44" s="9" t="n">
        <f aca="false">(O44/Q44)*100</f>
        <v>47.0599620640266</v>
      </c>
      <c r="S44" s="9" t="n">
        <f aca="false">(P44/Q44)*100</f>
        <v>52.9400379359734</v>
      </c>
    </row>
    <row r="45" customFormat="false" ht="12.8" hidden="false" customHeight="false" outlineLevel="0" collapsed="false">
      <c r="A45" s="6" t="s">
        <v>37</v>
      </c>
      <c r="B45" s="7" t="s">
        <v>103</v>
      </c>
      <c r="C45" s="6" t="s">
        <v>112</v>
      </c>
      <c r="D45" s="7" t="s">
        <v>113</v>
      </c>
      <c r="E45" s="8" t="n">
        <v>3986</v>
      </c>
      <c r="F45" s="8" t="n">
        <v>3982</v>
      </c>
      <c r="G45" s="8" t="n">
        <v>7624</v>
      </c>
      <c r="H45" s="8" t="n">
        <v>6599</v>
      </c>
      <c r="I45" s="8" t="n">
        <v>3993</v>
      </c>
      <c r="J45" s="8" t="n">
        <v>3596</v>
      </c>
      <c r="K45" s="8" t="n">
        <v>1850</v>
      </c>
      <c r="L45" s="8" t="n">
        <v>3129</v>
      </c>
      <c r="M45" s="8" t="n">
        <v>1617</v>
      </c>
      <c r="N45" s="8" t="n">
        <v>2589</v>
      </c>
      <c r="O45" s="8" t="n">
        <f aca="false">E45+G45+I45+K45+M45</f>
        <v>19070</v>
      </c>
      <c r="P45" s="8" t="n">
        <f aca="false">F45+H45+J45+L45+N45</f>
        <v>19895</v>
      </c>
      <c r="Q45" s="8" t="n">
        <f aca="false">SUM(O45:P45)</f>
        <v>38965</v>
      </c>
      <c r="R45" s="9" t="n">
        <f aca="false">(O45/Q45)*100</f>
        <v>48.9413576286411</v>
      </c>
      <c r="S45" s="9" t="n">
        <f aca="false">(P45/Q45)*100</f>
        <v>51.0586423713589</v>
      </c>
    </row>
    <row r="46" customFormat="false" ht="12.8" hidden="false" customHeight="false" outlineLevel="0" collapsed="false">
      <c r="A46" s="6" t="s">
        <v>37</v>
      </c>
      <c r="B46" s="7" t="s">
        <v>103</v>
      </c>
      <c r="C46" s="6" t="s">
        <v>114</v>
      </c>
      <c r="D46" s="7" t="s">
        <v>115</v>
      </c>
      <c r="E46" s="8" t="n">
        <v>1564</v>
      </c>
      <c r="F46" s="8" t="n">
        <v>1748</v>
      </c>
      <c r="G46" s="8" t="n">
        <v>2528</v>
      </c>
      <c r="H46" s="8" t="n">
        <v>2309</v>
      </c>
      <c r="I46" s="8" t="n">
        <v>1195</v>
      </c>
      <c r="J46" s="8" t="n">
        <v>1388</v>
      </c>
      <c r="K46" s="8" t="n">
        <v>634</v>
      </c>
      <c r="L46" s="8" t="n">
        <v>1091</v>
      </c>
      <c r="M46" s="8" t="n">
        <v>698</v>
      </c>
      <c r="N46" s="8" t="n">
        <v>1166</v>
      </c>
      <c r="O46" s="8" t="n">
        <f aca="false">E46+G46+I46+K46+M46</f>
        <v>6619</v>
      </c>
      <c r="P46" s="8" t="n">
        <f aca="false">F46+H46+J46+L46+N46</f>
        <v>7702</v>
      </c>
      <c r="Q46" s="8" t="n">
        <f aca="false">SUM(O46:P46)</f>
        <v>14321</v>
      </c>
      <c r="R46" s="9" t="n">
        <f aca="false">(O46/Q46)*100</f>
        <v>46.2188394665177</v>
      </c>
      <c r="S46" s="9" t="n">
        <f aca="false">(P46/Q46)*100</f>
        <v>53.7811605334823</v>
      </c>
    </row>
    <row r="47" customFormat="false" ht="12.8" hidden="false" customHeight="false" outlineLevel="0" collapsed="false">
      <c r="A47" s="6" t="s">
        <v>39</v>
      </c>
      <c r="B47" s="7" t="s">
        <v>116</v>
      </c>
      <c r="C47" s="6" t="s">
        <v>117</v>
      </c>
      <c r="D47" s="7" t="s">
        <v>118</v>
      </c>
      <c r="E47" s="8" t="n">
        <v>5286</v>
      </c>
      <c r="F47" s="8" t="n">
        <v>6709</v>
      </c>
      <c r="G47" s="8" t="n">
        <v>8869</v>
      </c>
      <c r="H47" s="8" t="n">
        <v>11067</v>
      </c>
      <c r="I47" s="8" t="n">
        <v>4110</v>
      </c>
      <c r="J47" s="8" t="n">
        <v>4886</v>
      </c>
      <c r="K47" s="8" t="n">
        <v>2868</v>
      </c>
      <c r="L47" s="8" t="n">
        <v>4342</v>
      </c>
      <c r="M47" s="8" t="n">
        <v>3134</v>
      </c>
      <c r="N47" s="8" t="n">
        <v>4393</v>
      </c>
      <c r="O47" s="8" t="n">
        <f aca="false">E47+G47+I47+K47+M47</f>
        <v>24267</v>
      </c>
      <c r="P47" s="8" t="n">
        <f aca="false">F47+H47+J47+L47+N47</f>
        <v>31397</v>
      </c>
      <c r="Q47" s="8" t="n">
        <f aca="false">SUM(O47:P47)</f>
        <v>55664</v>
      </c>
      <c r="R47" s="9" t="n">
        <f aca="false">(O47/Q47)*100</f>
        <v>43.5955015809141</v>
      </c>
      <c r="S47" s="9" t="n">
        <f aca="false">(P47/Q47)*100</f>
        <v>56.4044984190859</v>
      </c>
    </row>
    <row r="48" customFormat="false" ht="12.8" hidden="false" customHeight="false" outlineLevel="0" collapsed="false">
      <c r="A48" s="6" t="s">
        <v>39</v>
      </c>
      <c r="B48" s="7" t="s">
        <v>116</v>
      </c>
      <c r="C48" s="6" t="s">
        <v>119</v>
      </c>
      <c r="D48" s="7" t="s">
        <v>120</v>
      </c>
      <c r="E48" s="8" t="n">
        <v>2089</v>
      </c>
      <c r="F48" s="8" t="n">
        <v>2054</v>
      </c>
      <c r="G48" s="8" t="n">
        <v>5813</v>
      </c>
      <c r="H48" s="8" t="n">
        <v>5371</v>
      </c>
      <c r="I48" s="8" t="n">
        <v>2826</v>
      </c>
      <c r="J48" s="8" t="n">
        <v>2896</v>
      </c>
      <c r="K48" s="8" t="n">
        <v>1685</v>
      </c>
      <c r="L48" s="8" t="n">
        <v>3014</v>
      </c>
      <c r="M48" s="8" t="n">
        <v>1919</v>
      </c>
      <c r="N48" s="8" t="n">
        <v>3191</v>
      </c>
      <c r="O48" s="8" t="n">
        <f aca="false">E48+G48+I48+K48+M48</f>
        <v>14332</v>
      </c>
      <c r="P48" s="8" t="n">
        <f aca="false">F48+H48+J48+L48+N48</f>
        <v>16526</v>
      </c>
      <c r="Q48" s="8" t="n">
        <f aca="false">SUM(O48:P48)</f>
        <v>30858</v>
      </c>
      <c r="R48" s="9" t="n">
        <f aca="false">(O48/Q48)*100</f>
        <v>46.4450061572364</v>
      </c>
      <c r="S48" s="9" t="n">
        <f aca="false">(P48/Q48)*100</f>
        <v>53.5549938427636</v>
      </c>
    </row>
    <row r="49" customFormat="false" ht="12.8" hidden="false" customHeight="false" outlineLevel="0" collapsed="false">
      <c r="A49" s="6" t="s">
        <v>39</v>
      </c>
      <c r="B49" s="7" t="s">
        <v>116</v>
      </c>
      <c r="C49" s="6" t="s">
        <v>121</v>
      </c>
      <c r="D49" s="7" t="s">
        <v>122</v>
      </c>
      <c r="E49" s="8" t="n">
        <v>2074</v>
      </c>
      <c r="F49" s="8" t="n">
        <v>2701</v>
      </c>
      <c r="G49" s="8" t="n">
        <v>4180</v>
      </c>
      <c r="H49" s="8" t="n">
        <v>4973</v>
      </c>
      <c r="I49" s="8" t="n">
        <v>2163</v>
      </c>
      <c r="J49" s="8" t="n">
        <v>2643</v>
      </c>
      <c r="K49" s="8" t="n">
        <v>1621</v>
      </c>
      <c r="L49" s="8" t="n">
        <v>2637</v>
      </c>
      <c r="M49" s="8" t="n">
        <v>1638</v>
      </c>
      <c r="N49" s="8" t="n">
        <v>2452</v>
      </c>
      <c r="O49" s="8" t="n">
        <f aca="false">E49+G49+I49+K49+M49</f>
        <v>11676</v>
      </c>
      <c r="P49" s="8" t="n">
        <f aca="false">F49+H49+J49+L49+N49</f>
        <v>15406</v>
      </c>
      <c r="Q49" s="8" t="n">
        <f aca="false">SUM(O49:P49)</f>
        <v>27082</v>
      </c>
      <c r="R49" s="9" t="n">
        <f aca="false">(O49/Q49)*100</f>
        <v>43.1135071265047</v>
      </c>
      <c r="S49" s="9" t="n">
        <f aca="false">(P49/Q49)*100</f>
        <v>56.8864928734953</v>
      </c>
    </row>
    <row r="50" customFormat="false" ht="12.8" hidden="false" customHeight="false" outlineLevel="0" collapsed="false">
      <c r="A50" s="6" t="s">
        <v>39</v>
      </c>
      <c r="B50" s="7" t="s">
        <v>116</v>
      </c>
      <c r="C50" s="6" t="s">
        <v>123</v>
      </c>
      <c r="D50" s="7" t="s">
        <v>124</v>
      </c>
      <c r="E50" s="8" t="n">
        <v>2611</v>
      </c>
      <c r="F50" s="8" t="n">
        <v>1566</v>
      </c>
      <c r="G50" s="8" t="n">
        <v>6179</v>
      </c>
      <c r="H50" s="8" t="n">
        <v>4304</v>
      </c>
      <c r="I50" s="8" t="n">
        <v>2285</v>
      </c>
      <c r="J50" s="8" t="n">
        <v>2318</v>
      </c>
      <c r="K50" s="8" t="n">
        <v>1698</v>
      </c>
      <c r="L50" s="8" t="n">
        <v>3215</v>
      </c>
      <c r="M50" s="8" t="n">
        <v>1270</v>
      </c>
      <c r="N50" s="8" t="n">
        <v>2658</v>
      </c>
      <c r="O50" s="8" t="n">
        <f aca="false">E50+G50+I50+K50+M50</f>
        <v>14043</v>
      </c>
      <c r="P50" s="8" t="n">
        <f aca="false">F50+H50+J50+L50+N50</f>
        <v>14061</v>
      </c>
      <c r="Q50" s="8" t="n">
        <f aca="false">SUM(O50:P50)</f>
        <v>28104</v>
      </c>
      <c r="R50" s="9" t="n">
        <f aca="false">(O50/Q50)*100</f>
        <v>49.967976088813</v>
      </c>
      <c r="S50" s="9" t="n">
        <f aca="false">(P50/Q50)*100</f>
        <v>50.032023911187</v>
      </c>
    </row>
    <row r="51" customFormat="false" ht="12.8" hidden="false" customHeight="false" outlineLevel="0" collapsed="false">
      <c r="A51" s="6" t="s">
        <v>42</v>
      </c>
      <c r="B51" s="7" t="s">
        <v>125</v>
      </c>
      <c r="C51" s="6" t="s">
        <v>126</v>
      </c>
      <c r="D51" s="7" t="s">
        <v>127</v>
      </c>
      <c r="E51" s="8" t="n">
        <v>4069</v>
      </c>
      <c r="F51" s="8" t="n">
        <v>4492</v>
      </c>
      <c r="G51" s="8" t="n">
        <v>10309</v>
      </c>
      <c r="H51" s="8" t="n">
        <v>10205</v>
      </c>
      <c r="I51" s="8" t="n">
        <v>5145</v>
      </c>
      <c r="J51" s="8" t="n">
        <v>5700</v>
      </c>
      <c r="K51" s="8" t="n">
        <v>3174</v>
      </c>
      <c r="L51" s="8" t="n">
        <v>5106</v>
      </c>
      <c r="M51" s="8" t="n">
        <v>3131</v>
      </c>
      <c r="N51" s="8" t="n">
        <v>4922</v>
      </c>
      <c r="O51" s="8" t="n">
        <f aca="false">E51+G51+I51+K51+M51</f>
        <v>25828</v>
      </c>
      <c r="P51" s="8" t="n">
        <f aca="false">F51+H51+J51+L51+N51</f>
        <v>30425</v>
      </c>
      <c r="Q51" s="8" t="n">
        <f aca="false">SUM(O51:P51)</f>
        <v>56253</v>
      </c>
      <c r="R51" s="9" t="n">
        <f aca="false">(O51/Q51)*100</f>
        <v>45.9139956980072</v>
      </c>
      <c r="S51" s="9" t="n">
        <f aca="false">(P51/Q51)*100</f>
        <v>54.0860043019928</v>
      </c>
    </row>
    <row r="52" customFormat="false" ht="12.8" hidden="false" customHeight="false" outlineLevel="0" collapsed="false">
      <c r="A52" s="6" t="s">
        <v>42</v>
      </c>
      <c r="B52" s="7" t="s">
        <v>125</v>
      </c>
      <c r="C52" s="6" t="s">
        <v>128</v>
      </c>
      <c r="D52" s="7" t="s">
        <v>129</v>
      </c>
      <c r="E52" s="8" t="n">
        <v>1468</v>
      </c>
      <c r="F52" s="8" t="n">
        <v>1822</v>
      </c>
      <c r="G52" s="8" t="n">
        <v>3088</v>
      </c>
      <c r="H52" s="8" t="n">
        <v>3385</v>
      </c>
      <c r="I52" s="8" t="n">
        <v>1475</v>
      </c>
      <c r="J52" s="8" t="n">
        <v>1612</v>
      </c>
      <c r="K52" s="8" t="n">
        <v>963</v>
      </c>
      <c r="L52" s="8" t="n">
        <v>2158</v>
      </c>
      <c r="M52" s="8" t="n">
        <v>983</v>
      </c>
      <c r="N52" s="8" t="n">
        <v>2131</v>
      </c>
      <c r="O52" s="8" t="n">
        <f aca="false">E52+G52+I52+K52+M52</f>
        <v>7977</v>
      </c>
      <c r="P52" s="8" t="n">
        <f aca="false">F52+H52+J52+L52+N52</f>
        <v>11108</v>
      </c>
      <c r="Q52" s="8" t="n">
        <f aca="false">SUM(O52:P52)</f>
        <v>19085</v>
      </c>
      <c r="R52" s="9" t="n">
        <f aca="false">(O52/Q52)*100</f>
        <v>41.7972229499607</v>
      </c>
      <c r="S52" s="9" t="n">
        <f aca="false">(P52/Q52)*100</f>
        <v>58.2027770500393</v>
      </c>
    </row>
    <row r="53" customFormat="false" ht="12.8" hidden="false" customHeight="false" outlineLevel="0" collapsed="false">
      <c r="A53" s="6" t="s">
        <v>44</v>
      </c>
      <c r="B53" s="7" t="s">
        <v>130</v>
      </c>
      <c r="C53" s="6" t="s">
        <v>131</v>
      </c>
      <c r="D53" s="7" t="s">
        <v>132</v>
      </c>
      <c r="E53" s="8" t="n">
        <v>6333</v>
      </c>
      <c r="F53" s="8" t="n">
        <v>6736</v>
      </c>
      <c r="G53" s="8" t="n">
        <v>11735</v>
      </c>
      <c r="H53" s="8" t="n">
        <v>11434</v>
      </c>
      <c r="I53" s="8" t="n">
        <v>6907</v>
      </c>
      <c r="J53" s="8" t="n">
        <v>7439</v>
      </c>
      <c r="K53" s="8" t="n">
        <v>3302</v>
      </c>
      <c r="L53" s="8" t="n">
        <v>5530</v>
      </c>
      <c r="M53" s="8" t="n">
        <v>3794</v>
      </c>
      <c r="N53" s="8" t="n">
        <v>4956</v>
      </c>
      <c r="O53" s="8" t="n">
        <f aca="false">E53+G53+I53+K53+M53</f>
        <v>32071</v>
      </c>
      <c r="P53" s="8" t="n">
        <f aca="false">F53+H53+J53+L53+N53</f>
        <v>36095</v>
      </c>
      <c r="Q53" s="8" t="n">
        <f aca="false">SUM(O53:P53)</f>
        <v>68166</v>
      </c>
      <c r="R53" s="9" t="n">
        <f aca="false">(O53/Q53)*100</f>
        <v>47.0483818912654</v>
      </c>
      <c r="S53" s="9" t="n">
        <f aca="false">(P53/Q53)*100</f>
        <v>52.9516181087346</v>
      </c>
    </row>
    <row r="54" customFormat="false" ht="12.8" hidden="false" customHeight="false" outlineLevel="0" collapsed="false">
      <c r="A54" s="6" t="s">
        <v>44</v>
      </c>
      <c r="B54" s="7" t="s">
        <v>130</v>
      </c>
      <c r="C54" s="6" t="s">
        <v>133</v>
      </c>
      <c r="D54" s="7" t="s">
        <v>134</v>
      </c>
      <c r="E54" s="8" t="n">
        <v>6704</v>
      </c>
      <c r="F54" s="8" t="n">
        <v>7658</v>
      </c>
      <c r="G54" s="8" t="n">
        <v>14277</v>
      </c>
      <c r="H54" s="8" t="n">
        <v>13568</v>
      </c>
      <c r="I54" s="8" t="n">
        <v>8774</v>
      </c>
      <c r="J54" s="8" t="n">
        <v>9384</v>
      </c>
      <c r="K54" s="8" t="n">
        <v>4365</v>
      </c>
      <c r="L54" s="8" t="n">
        <v>7526</v>
      </c>
      <c r="M54" s="8" t="n">
        <v>5052</v>
      </c>
      <c r="N54" s="8" t="n">
        <v>6604</v>
      </c>
      <c r="O54" s="8" t="n">
        <f aca="false">E54+G54+I54+K54+M54</f>
        <v>39172</v>
      </c>
      <c r="P54" s="8" t="n">
        <f aca="false">F54+H54+J54+L54+N54</f>
        <v>44740</v>
      </c>
      <c r="Q54" s="8" t="n">
        <f aca="false">SUM(O54:P54)</f>
        <v>83912</v>
      </c>
      <c r="R54" s="9" t="n">
        <f aca="false">(O54/Q54)*100</f>
        <v>46.6822385356087</v>
      </c>
      <c r="S54" s="9" t="n">
        <f aca="false">(P54/Q54)*100</f>
        <v>53.3177614643913</v>
      </c>
    </row>
    <row r="55" customFormat="false" ht="12.8" hidden="false" customHeight="false" outlineLevel="0" collapsed="false">
      <c r="A55" s="6" t="s">
        <v>44</v>
      </c>
      <c r="B55" s="7" t="s">
        <v>130</v>
      </c>
      <c r="C55" s="6" t="s">
        <v>135</v>
      </c>
      <c r="D55" s="7" t="s">
        <v>136</v>
      </c>
      <c r="E55" s="8" t="n">
        <v>5700</v>
      </c>
      <c r="F55" s="8" t="n">
        <v>7004</v>
      </c>
      <c r="G55" s="8" t="n">
        <v>11908</v>
      </c>
      <c r="H55" s="8" t="n">
        <v>10369</v>
      </c>
      <c r="I55" s="8" t="n">
        <v>6842</v>
      </c>
      <c r="J55" s="8" t="n">
        <v>7097</v>
      </c>
      <c r="K55" s="8" t="n">
        <v>3269</v>
      </c>
      <c r="L55" s="8" t="n">
        <v>6269</v>
      </c>
      <c r="M55" s="8" t="n">
        <v>3791</v>
      </c>
      <c r="N55" s="8" t="n">
        <v>5101</v>
      </c>
      <c r="O55" s="8" t="n">
        <f aca="false">E55+G55+I55+K55+M55</f>
        <v>31510</v>
      </c>
      <c r="P55" s="8" t="n">
        <f aca="false">F55+H55+J55+L55+N55</f>
        <v>35840</v>
      </c>
      <c r="Q55" s="8" t="n">
        <f aca="false">SUM(O55:P55)</f>
        <v>67350</v>
      </c>
      <c r="R55" s="9" t="n">
        <f aca="false">(O55/Q55)*100</f>
        <v>46.7854491462509</v>
      </c>
      <c r="S55" s="9" t="n">
        <f aca="false">(P55/Q55)*100</f>
        <v>53.2145508537491</v>
      </c>
    </row>
    <row r="56" customFormat="false" ht="12.8" hidden="false" customHeight="false" outlineLevel="0" collapsed="false">
      <c r="A56" s="6" t="s">
        <v>44</v>
      </c>
      <c r="B56" s="7" t="s">
        <v>130</v>
      </c>
      <c r="C56" s="6" t="s">
        <v>137</v>
      </c>
      <c r="D56" s="7" t="s">
        <v>138</v>
      </c>
      <c r="E56" s="8" t="n">
        <v>4595</v>
      </c>
      <c r="F56" s="8" t="n">
        <v>5298</v>
      </c>
      <c r="G56" s="8" t="n">
        <v>9361</v>
      </c>
      <c r="H56" s="8" t="n">
        <v>8499</v>
      </c>
      <c r="I56" s="8" t="n">
        <v>6710</v>
      </c>
      <c r="J56" s="8" t="n">
        <v>6414</v>
      </c>
      <c r="K56" s="8" t="n">
        <v>4244</v>
      </c>
      <c r="L56" s="8" t="n">
        <v>8181</v>
      </c>
      <c r="M56" s="8" t="n">
        <v>4228</v>
      </c>
      <c r="N56" s="8" t="n">
        <v>6584</v>
      </c>
      <c r="O56" s="8" t="n">
        <f aca="false">E56+G56+I56+K56+M56</f>
        <v>29138</v>
      </c>
      <c r="P56" s="8" t="n">
        <f aca="false">F56+H56+J56+L56+N56</f>
        <v>34976</v>
      </c>
      <c r="Q56" s="8" t="n">
        <f aca="false">SUM(O56:P56)</f>
        <v>64114</v>
      </c>
      <c r="R56" s="9" t="n">
        <f aca="false">(O56/Q56)*100</f>
        <v>45.4471722244752</v>
      </c>
      <c r="S56" s="9" t="n">
        <f aca="false">(P56/Q56)*100</f>
        <v>54.5528277755249</v>
      </c>
    </row>
    <row r="57" customFormat="false" ht="12.8" hidden="false" customHeight="false" outlineLevel="0" collapsed="false">
      <c r="A57" s="6" t="s">
        <v>44</v>
      </c>
      <c r="B57" s="7" t="s">
        <v>130</v>
      </c>
      <c r="C57" s="6" t="s">
        <v>139</v>
      </c>
      <c r="D57" s="7" t="s">
        <v>140</v>
      </c>
      <c r="E57" s="8" t="n">
        <v>6435</v>
      </c>
      <c r="F57" s="8" t="n">
        <v>7307</v>
      </c>
      <c r="G57" s="8" t="n">
        <v>11566</v>
      </c>
      <c r="H57" s="8" t="n">
        <v>10841</v>
      </c>
      <c r="I57" s="8" t="n">
        <v>7290</v>
      </c>
      <c r="J57" s="8" t="n">
        <v>7675</v>
      </c>
      <c r="K57" s="8" t="n">
        <v>4377</v>
      </c>
      <c r="L57" s="8" t="n">
        <v>8704</v>
      </c>
      <c r="M57" s="8" t="n">
        <v>4430</v>
      </c>
      <c r="N57" s="8" t="n">
        <v>7295</v>
      </c>
      <c r="O57" s="8" t="n">
        <f aca="false">E57+G57+I57+K57+M57</f>
        <v>34098</v>
      </c>
      <c r="P57" s="8" t="n">
        <f aca="false">F57+H57+J57+L57+N57</f>
        <v>41822</v>
      </c>
      <c r="Q57" s="8" t="n">
        <f aca="false">SUM(O57:P57)</f>
        <v>75920</v>
      </c>
      <c r="R57" s="9" t="n">
        <f aca="false">(O57/Q57)*100</f>
        <v>44.9130663856691</v>
      </c>
      <c r="S57" s="9" t="n">
        <f aca="false">(P57/Q57)*100</f>
        <v>55.0869336143309</v>
      </c>
    </row>
    <row r="58" customFormat="false" ht="12.8" hidden="false" customHeight="false" outlineLevel="0" collapsed="false">
      <c r="A58" s="6" t="s">
        <v>44</v>
      </c>
      <c r="B58" s="7" t="s">
        <v>130</v>
      </c>
      <c r="C58" s="6" t="s">
        <v>141</v>
      </c>
      <c r="D58" s="7" t="s">
        <v>142</v>
      </c>
      <c r="E58" s="8" t="n">
        <v>5823</v>
      </c>
      <c r="F58" s="8" t="n">
        <v>6935</v>
      </c>
      <c r="G58" s="8" t="n">
        <v>13912</v>
      </c>
      <c r="H58" s="8" t="n">
        <v>14326</v>
      </c>
      <c r="I58" s="8" t="n">
        <v>8847</v>
      </c>
      <c r="J58" s="8" t="n">
        <v>9983</v>
      </c>
      <c r="K58" s="8" t="n">
        <v>6408</v>
      </c>
      <c r="L58" s="8" t="n">
        <v>8640</v>
      </c>
      <c r="M58" s="8" t="n">
        <v>6419</v>
      </c>
      <c r="N58" s="8" t="n">
        <v>8154</v>
      </c>
      <c r="O58" s="8" t="n">
        <f aca="false">E58+G58+I58+K58+M58</f>
        <v>41409</v>
      </c>
      <c r="P58" s="8" t="n">
        <f aca="false">F58+H58+J58+L58+N58</f>
        <v>48038</v>
      </c>
      <c r="Q58" s="8" t="n">
        <f aca="false">SUM(O58:P58)</f>
        <v>89447</v>
      </c>
      <c r="R58" s="9" t="n">
        <f aca="false">(O58/Q58)*100</f>
        <v>46.2944536988384</v>
      </c>
      <c r="S58" s="9" t="n">
        <f aca="false">(P58/Q58)*100</f>
        <v>53.7055463011616</v>
      </c>
    </row>
    <row r="59" customFormat="false" ht="12.8" hidden="false" customHeight="false" outlineLevel="0" collapsed="false">
      <c r="A59" s="6" t="s">
        <v>44</v>
      </c>
      <c r="B59" s="7" t="s">
        <v>130</v>
      </c>
      <c r="C59" s="6" t="s">
        <v>143</v>
      </c>
      <c r="D59" s="7" t="s">
        <v>144</v>
      </c>
      <c r="E59" s="8" t="n">
        <v>4553</v>
      </c>
      <c r="F59" s="8" t="n">
        <v>5811</v>
      </c>
      <c r="G59" s="8" t="n">
        <v>10957</v>
      </c>
      <c r="H59" s="8" t="n">
        <v>11540</v>
      </c>
      <c r="I59" s="8" t="n">
        <v>8102</v>
      </c>
      <c r="J59" s="8" t="n">
        <v>8916</v>
      </c>
      <c r="K59" s="8" t="n">
        <v>5584</v>
      </c>
      <c r="L59" s="8" t="n">
        <v>7586</v>
      </c>
      <c r="M59" s="8" t="n">
        <v>5752</v>
      </c>
      <c r="N59" s="8" t="n">
        <v>7232</v>
      </c>
      <c r="O59" s="8" t="n">
        <f aca="false">E59+G59+I59+K59+M59</f>
        <v>34948</v>
      </c>
      <c r="P59" s="8" t="n">
        <f aca="false">F59+H59+J59+L59+N59</f>
        <v>41085</v>
      </c>
      <c r="Q59" s="8" t="n">
        <f aca="false">SUM(O59:P59)</f>
        <v>76033</v>
      </c>
      <c r="R59" s="9" t="n">
        <f aca="false">(O59/Q59)*100</f>
        <v>45.9642523641051</v>
      </c>
      <c r="S59" s="9" t="n">
        <f aca="false">(P59/Q59)*100</f>
        <v>54.0357476358949</v>
      </c>
    </row>
    <row r="60" customFormat="false" ht="12.8" hidden="false" customHeight="false" outlineLevel="0" collapsed="false">
      <c r="A60" s="6" t="s">
        <v>44</v>
      </c>
      <c r="B60" s="7" t="s">
        <v>130</v>
      </c>
      <c r="C60" s="6" t="s">
        <v>145</v>
      </c>
      <c r="D60" s="7" t="s">
        <v>146</v>
      </c>
      <c r="E60" s="8" t="n">
        <v>4273</v>
      </c>
      <c r="F60" s="8" t="n">
        <v>5179</v>
      </c>
      <c r="G60" s="8" t="n">
        <v>9274</v>
      </c>
      <c r="H60" s="8" t="n">
        <v>10052</v>
      </c>
      <c r="I60" s="8" t="n">
        <v>6577</v>
      </c>
      <c r="J60" s="8" t="n">
        <v>7766</v>
      </c>
      <c r="K60" s="8" t="n">
        <v>5075</v>
      </c>
      <c r="L60" s="8" t="n">
        <v>8716</v>
      </c>
      <c r="M60" s="8" t="n">
        <v>5107</v>
      </c>
      <c r="N60" s="8" t="n">
        <v>8105</v>
      </c>
      <c r="O60" s="8" t="n">
        <f aca="false">E60+G60+I60+K60+M60</f>
        <v>30306</v>
      </c>
      <c r="P60" s="8" t="n">
        <f aca="false">F60+H60+J60+L60+N60</f>
        <v>39818</v>
      </c>
      <c r="Q60" s="8" t="n">
        <f aca="false">SUM(O60:P60)</f>
        <v>70124</v>
      </c>
      <c r="R60" s="9" t="n">
        <f aca="false">(O60/Q60)*100</f>
        <v>43.2177285950602</v>
      </c>
      <c r="S60" s="9" t="n">
        <f aca="false">(P60/Q60)*100</f>
        <v>56.7822714049398</v>
      </c>
    </row>
    <row r="61" customFormat="false" ht="12.8" hidden="false" customHeight="false" outlineLevel="0" collapsed="false">
      <c r="A61" s="6" t="s">
        <v>44</v>
      </c>
      <c r="B61" s="7" t="s">
        <v>130</v>
      </c>
      <c r="C61" s="6" t="s">
        <v>147</v>
      </c>
      <c r="D61" s="7" t="s">
        <v>148</v>
      </c>
      <c r="E61" s="8" t="n">
        <v>5973</v>
      </c>
      <c r="F61" s="8" t="n">
        <v>7259</v>
      </c>
      <c r="G61" s="8" t="n">
        <v>15099</v>
      </c>
      <c r="H61" s="8" t="n">
        <v>16153</v>
      </c>
      <c r="I61" s="8" t="n">
        <v>10871</v>
      </c>
      <c r="J61" s="8" t="n">
        <v>12484</v>
      </c>
      <c r="K61" s="8" t="n">
        <v>7754</v>
      </c>
      <c r="L61" s="8" t="n">
        <v>11840</v>
      </c>
      <c r="M61" s="8" t="n">
        <v>8109</v>
      </c>
      <c r="N61" s="8" t="n">
        <v>11872</v>
      </c>
      <c r="O61" s="8" t="n">
        <f aca="false">E61+G61+I61+K61+M61</f>
        <v>47806</v>
      </c>
      <c r="P61" s="8" t="n">
        <f aca="false">F61+H61+J61+L61+N61</f>
        <v>59608</v>
      </c>
      <c r="Q61" s="8" t="n">
        <f aca="false">SUM(O61:P61)</f>
        <v>107414</v>
      </c>
      <c r="R61" s="9" t="n">
        <f aca="false">(O61/Q61)*100</f>
        <v>44.5063027165919</v>
      </c>
      <c r="S61" s="9" t="n">
        <f aca="false">(P61/Q61)*100</f>
        <v>55.4936972834081</v>
      </c>
    </row>
    <row r="62" customFormat="false" ht="12.8" hidden="false" customHeight="false" outlineLevel="0" collapsed="false">
      <c r="A62" s="6" t="s">
        <v>46</v>
      </c>
      <c r="B62" s="7" t="s">
        <v>149</v>
      </c>
      <c r="C62" s="6" t="s">
        <v>150</v>
      </c>
      <c r="D62" s="7" t="s">
        <v>151</v>
      </c>
      <c r="E62" s="8" t="n">
        <v>4357</v>
      </c>
      <c r="F62" s="8" t="n">
        <v>5169</v>
      </c>
      <c r="G62" s="8" t="n">
        <v>8787</v>
      </c>
      <c r="H62" s="8" t="n">
        <v>9245</v>
      </c>
      <c r="I62" s="8" t="n">
        <v>6614</v>
      </c>
      <c r="J62" s="8" t="n">
        <v>7169</v>
      </c>
      <c r="K62" s="8" t="n">
        <v>4818</v>
      </c>
      <c r="L62" s="8" t="n">
        <v>8894</v>
      </c>
      <c r="M62" s="8" t="n">
        <v>5208</v>
      </c>
      <c r="N62" s="8" t="n">
        <v>8468</v>
      </c>
      <c r="O62" s="8" t="n">
        <f aca="false">E62+G62+I62+K62+M62</f>
        <v>29784</v>
      </c>
      <c r="P62" s="8" t="n">
        <f aca="false">F62+H62+J62+L62+N62</f>
        <v>38945</v>
      </c>
      <c r="Q62" s="8" t="n">
        <f aca="false">SUM(O62:P62)</f>
        <v>68729</v>
      </c>
      <c r="R62" s="9" t="n">
        <f aca="false">(O62/Q62)*100</f>
        <v>43.3354188188392</v>
      </c>
      <c r="S62" s="9" t="n">
        <f aca="false">(P62/Q62)*100</f>
        <v>56.6645811811608</v>
      </c>
    </row>
    <row r="63" customFormat="false" ht="12.8" hidden="false" customHeight="false" outlineLevel="0" collapsed="false">
      <c r="A63" s="6" t="s">
        <v>46</v>
      </c>
      <c r="B63" s="7" t="s">
        <v>149</v>
      </c>
      <c r="C63" s="6" t="s">
        <v>152</v>
      </c>
      <c r="D63" s="7" t="s">
        <v>153</v>
      </c>
      <c r="E63" s="8" t="n">
        <v>5208</v>
      </c>
      <c r="F63" s="8" t="n">
        <v>6211</v>
      </c>
      <c r="G63" s="8" t="n">
        <v>10894</v>
      </c>
      <c r="H63" s="8" t="n">
        <v>10881</v>
      </c>
      <c r="I63" s="8" t="n">
        <v>7449</v>
      </c>
      <c r="J63" s="8" t="n">
        <v>7740</v>
      </c>
      <c r="K63" s="8" t="n">
        <v>5402</v>
      </c>
      <c r="L63" s="8" t="n">
        <v>9090</v>
      </c>
      <c r="M63" s="8" t="n">
        <v>5467</v>
      </c>
      <c r="N63" s="8" t="n">
        <v>8144</v>
      </c>
      <c r="O63" s="8" t="n">
        <f aca="false">E63+G63+I63+K63+M63</f>
        <v>34420</v>
      </c>
      <c r="P63" s="8" t="n">
        <f aca="false">F63+H63+J63+L63+N63</f>
        <v>42066</v>
      </c>
      <c r="Q63" s="8" t="n">
        <f aca="false">SUM(O63:P63)</f>
        <v>76486</v>
      </c>
      <c r="R63" s="9" t="n">
        <f aca="false">(O63/Q63)*100</f>
        <v>45.0016996574537</v>
      </c>
      <c r="S63" s="9" t="n">
        <f aca="false">(P63/Q63)*100</f>
        <v>54.9983003425463</v>
      </c>
    </row>
    <row r="64" customFormat="false" ht="12.8" hidden="false" customHeight="false" outlineLevel="0" collapsed="false">
      <c r="A64" s="6" t="s">
        <v>46</v>
      </c>
      <c r="B64" s="7" t="s">
        <v>149</v>
      </c>
      <c r="C64" s="6" t="s">
        <v>154</v>
      </c>
      <c r="D64" s="7" t="s">
        <v>155</v>
      </c>
      <c r="E64" s="8" t="n">
        <v>5705</v>
      </c>
      <c r="F64" s="8" t="n">
        <v>6552</v>
      </c>
      <c r="G64" s="8" t="n">
        <v>11170</v>
      </c>
      <c r="H64" s="8" t="n">
        <v>9930</v>
      </c>
      <c r="I64" s="8" t="n">
        <v>6963</v>
      </c>
      <c r="J64" s="8" t="n">
        <v>6606</v>
      </c>
      <c r="K64" s="8" t="n">
        <v>3917</v>
      </c>
      <c r="L64" s="8" t="n">
        <v>7086</v>
      </c>
      <c r="M64" s="8" t="n">
        <v>4156</v>
      </c>
      <c r="N64" s="8" t="n">
        <v>5854</v>
      </c>
      <c r="O64" s="8" t="n">
        <f aca="false">E64+G64+I64+K64+M64</f>
        <v>31911</v>
      </c>
      <c r="P64" s="8" t="n">
        <f aca="false">F64+H64+J64+L64+N64</f>
        <v>36028</v>
      </c>
      <c r="Q64" s="8" t="n">
        <f aca="false">SUM(O64:P64)</f>
        <v>67939</v>
      </c>
      <c r="R64" s="9" t="n">
        <f aca="false">(O64/Q64)*100</f>
        <v>46.9700760976759</v>
      </c>
      <c r="S64" s="9" t="n">
        <f aca="false">(P64/Q64)*100</f>
        <v>53.0299239023241</v>
      </c>
    </row>
    <row r="65" customFormat="false" ht="12.8" hidden="false" customHeight="false" outlineLevel="0" collapsed="false">
      <c r="A65" s="6" t="s">
        <v>48</v>
      </c>
      <c r="B65" s="7" t="s">
        <v>156</v>
      </c>
      <c r="C65" s="6" t="s">
        <v>157</v>
      </c>
      <c r="D65" s="7" t="s">
        <v>158</v>
      </c>
      <c r="E65" s="8" t="n">
        <v>7238</v>
      </c>
      <c r="F65" s="8" t="n">
        <v>8554</v>
      </c>
      <c r="G65" s="8" t="n">
        <v>14472</v>
      </c>
      <c r="H65" s="8" t="n">
        <v>14956</v>
      </c>
      <c r="I65" s="8" t="n">
        <v>10189</v>
      </c>
      <c r="J65" s="8" t="n">
        <v>10808</v>
      </c>
      <c r="K65" s="8" t="n">
        <v>7635</v>
      </c>
      <c r="L65" s="8" t="n">
        <v>9377</v>
      </c>
      <c r="M65" s="8" t="n">
        <v>7762</v>
      </c>
      <c r="N65" s="8" t="n">
        <v>8348</v>
      </c>
      <c r="O65" s="8" t="n">
        <f aca="false">E65+G65+I65+K65+M65</f>
        <v>47296</v>
      </c>
      <c r="P65" s="8" t="n">
        <f aca="false">F65+H65+J65+L65+N65</f>
        <v>52043</v>
      </c>
      <c r="Q65" s="8" t="n">
        <f aca="false">SUM(O65:P65)</f>
        <v>99339</v>
      </c>
      <c r="R65" s="9" t="n">
        <f aca="false">(O65/Q65)*100</f>
        <v>47.6107067717613</v>
      </c>
      <c r="S65" s="9" t="n">
        <f aca="false">(P65/Q65)*100</f>
        <v>52.3892932282387</v>
      </c>
    </row>
    <row r="66" customFormat="false" ht="12.8" hidden="false" customHeight="false" outlineLevel="0" collapsed="false">
      <c r="A66" s="6" t="s">
        <v>48</v>
      </c>
      <c r="B66" s="7" t="s">
        <v>156</v>
      </c>
      <c r="C66" s="6" t="s">
        <v>159</v>
      </c>
      <c r="D66" s="7" t="s">
        <v>160</v>
      </c>
      <c r="E66" s="8" t="n">
        <v>5196</v>
      </c>
      <c r="F66" s="8" t="n">
        <v>6413</v>
      </c>
      <c r="G66" s="8" t="n">
        <v>11482</v>
      </c>
      <c r="H66" s="8" t="n">
        <v>11787</v>
      </c>
      <c r="I66" s="8" t="n">
        <v>9146</v>
      </c>
      <c r="J66" s="8" t="n">
        <v>9400</v>
      </c>
      <c r="K66" s="8" t="n">
        <v>7052</v>
      </c>
      <c r="L66" s="8" t="n">
        <v>10455</v>
      </c>
      <c r="M66" s="8" t="n">
        <v>7037</v>
      </c>
      <c r="N66" s="8" t="n">
        <v>9009</v>
      </c>
      <c r="O66" s="8" t="n">
        <f aca="false">E66+G66+I66+K66+M66</f>
        <v>39913</v>
      </c>
      <c r="P66" s="8" t="n">
        <f aca="false">F66+H66+J66+L66+N66</f>
        <v>47064</v>
      </c>
      <c r="Q66" s="8" t="n">
        <f aca="false">SUM(O66:P66)</f>
        <v>86977</v>
      </c>
      <c r="R66" s="9" t="n">
        <f aca="false">(O66/Q66)*100</f>
        <v>45.8891431067984</v>
      </c>
      <c r="S66" s="9" t="n">
        <f aca="false">(P66/Q66)*100</f>
        <v>54.1108568932017</v>
      </c>
    </row>
    <row r="67" customFormat="false" ht="12.8" hidden="false" customHeight="false" outlineLevel="0" collapsed="false">
      <c r="A67" s="6" t="s">
        <v>48</v>
      </c>
      <c r="B67" s="7" t="s">
        <v>156</v>
      </c>
      <c r="C67" s="6" t="s">
        <v>161</v>
      </c>
      <c r="D67" s="7" t="s">
        <v>162</v>
      </c>
      <c r="E67" s="8" t="n">
        <v>4516</v>
      </c>
      <c r="F67" s="8" t="n">
        <v>5837</v>
      </c>
      <c r="G67" s="8" t="n">
        <v>10601</v>
      </c>
      <c r="H67" s="8" t="n">
        <v>11258</v>
      </c>
      <c r="I67" s="8" t="n">
        <v>7084</v>
      </c>
      <c r="J67" s="8" t="n">
        <v>7800</v>
      </c>
      <c r="K67" s="8" t="n">
        <v>5370</v>
      </c>
      <c r="L67" s="8" t="n">
        <v>7873</v>
      </c>
      <c r="M67" s="8" t="n">
        <v>5063</v>
      </c>
      <c r="N67" s="8" t="n">
        <v>6741</v>
      </c>
      <c r="O67" s="8" t="n">
        <f aca="false">E67+G67+I67+K67+M67</f>
        <v>32634</v>
      </c>
      <c r="P67" s="8" t="n">
        <f aca="false">F67+H67+J67+L67+N67</f>
        <v>39509</v>
      </c>
      <c r="Q67" s="8" t="n">
        <f aca="false">SUM(O67:P67)</f>
        <v>72143</v>
      </c>
      <c r="R67" s="9" t="n">
        <f aca="false">(O67/Q67)*100</f>
        <v>45.2351579501823</v>
      </c>
      <c r="S67" s="9" t="n">
        <f aca="false">(P67/Q67)*100</f>
        <v>54.7648420498177</v>
      </c>
    </row>
    <row r="68" customFormat="false" ht="12.8" hidden="false" customHeight="false" outlineLevel="0" collapsed="false">
      <c r="A68" s="6" t="s">
        <v>48</v>
      </c>
      <c r="B68" s="7" t="s">
        <v>156</v>
      </c>
      <c r="C68" s="6" t="s">
        <v>163</v>
      </c>
      <c r="D68" s="7" t="s">
        <v>164</v>
      </c>
      <c r="E68" s="8" t="n">
        <v>3640</v>
      </c>
      <c r="F68" s="8" t="n">
        <v>4396</v>
      </c>
      <c r="G68" s="8" t="n">
        <v>8022</v>
      </c>
      <c r="H68" s="8" t="n">
        <v>7740</v>
      </c>
      <c r="I68" s="8" t="n">
        <v>5087</v>
      </c>
      <c r="J68" s="8" t="n">
        <v>5004</v>
      </c>
      <c r="K68" s="8" t="n">
        <v>3555</v>
      </c>
      <c r="L68" s="8" t="n">
        <v>5851</v>
      </c>
      <c r="M68" s="8" t="n">
        <v>3222</v>
      </c>
      <c r="N68" s="8" t="n">
        <v>4492</v>
      </c>
      <c r="O68" s="8" t="n">
        <f aca="false">E68+G68+I68+K68+M68</f>
        <v>23526</v>
      </c>
      <c r="P68" s="8" t="n">
        <f aca="false">F68+H68+J68+L68+N68</f>
        <v>27483</v>
      </c>
      <c r="Q68" s="8" t="n">
        <f aca="false">SUM(O68:P68)</f>
        <v>51009</v>
      </c>
      <c r="R68" s="9" t="n">
        <f aca="false">(O68/Q68)*100</f>
        <v>46.1212727165794</v>
      </c>
      <c r="S68" s="9" t="n">
        <f aca="false">(P68/Q68)*100</f>
        <v>53.8787272834206</v>
      </c>
    </row>
    <row r="69" customFormat="false" ht="12.8" hidden="false" customHeight="false" outlineLevel="0" collapsed="false">
      <c r="A69" s="6" t="s">
        <v>50</v>
      </c>
      <c r="B69" s="7" t="s">
        <v>165</v>
      </c>
      <c r="C69" s="6" t="s">
        <v>166</v>
      </c>
      <c r="D69" s="7" t="s">
        <v>167</v>
      </c>
      <c r="E69" s="8" t="n">
        <v>3830</v>
      </c>
      <c r="F69" s="8" t="n">
        <v>5150</v>
      </c>
      <c r="G69" s="8" t="n">
        <v>10064</v>
      </c>
      <c r="H69" s="8" t="n">
        <v>7445</v>
      </c>
      <c r="I69" s="8" t="n">
        <v>6216</v>
      </c>
      <c r="J69" s="8" t="n">
        <v>5927</v>
      </c>
      <c r="K69" s="8" t="n">
        <v>4247</v>
      </c>
      <c r="L69" s="8" t="n">
        <v>8292</v>
      </c>
      <c r="M69" s="8" t="n">
        <v>3851</v>
      </c>
      <c r="N69" s="8" t="n">
        <v>6469</v>
      </c>
      <c r="O69" s="8" t="n">
        <f aca="false">E69+G69+I69+K69+M69</f>
        <v>28208</v>
      </c>
      <c r="P69" s="8" t="n">
        <f aca="false">F69+H69+J69+L69+N69</f>
        <v>33283</v>
      </c>
      <c r="Q69" s="8" t="n">
        <f aca="false">SUM(O69:P69)</f>
        <v>61491</v>
      </c>
      <c r="R69" s="9" t="n">
        <f aca="false">(O69/Q69)*100</f>
        <v>45.8733798442048</v>
      </c>
      <c r="S69" s="9" t="n">
        <f aca="false">(P69/Q69)*100</f>
        <v>54.1266201557952</v>
      </c>
    </row>
    <row r="70" customFormat="false" ht="12.8" hidden="false" customHeight="false" outlineLevel="0" collapsed="false">
      <c r="A70" s="6" t="s">
        <v>50</v>
      </c>
      <c r="B70" s="7" t="s">
        <v>165</v>
      </c>
      <c r="C70" s="6" t="s">
        <v>168</v>
      </c>
      <c r="D70" s="7" t="s">
        <v>169</v>
      </c>
      <c r="E70" s="8" t="n">
        <v>3496</v>
      </c>
      <c r="F70" s="8" t="n">
        <v>4803</v>
      </c>
      <c r="G70" s="8" t="n">
        <v>7744</v>
      </c>
      <c r="H70" s="8" t="n">
        <v>6578</v>
      </c>
      <c r="I70" s="8" t="n">
        <v>5558</v>
      </c>
      <c r="J70" s="8" t="n">
        <v>4578</v>
      </c>
      <c r="K70" s="8" t="n">
        <v>3992</v>
      </c>
      <c r="L70" s="8" t="n">
        <v>6726</v>
      </c>
      <c r="M70" s="8" t="n">
        <v>3131</v>
      </c>
      <c r="N70" s="8" t="n">
        <v>5243</v>
      </c>
      <c r="O70" s="8" t="n">
        <f aca="false">E70+G70+I70+K70+M70</f>
        <v>23921</v>
      </c>
      <c r="P70" s="8" t="n">
        <f aca="false">F70+H70+J70+L70+N70</f>
        <v>27928</v>
      </c>
      <c r="Q70" s="8" t="n">
        <f aca="false">SUM(O70:P70)</f>
        <v>51849</v>
      </c>
      <c r="R70" s="9" t="n">
        <f aca="false">(O70/Q70)*100</f>
        <v>46.1358946170611</v>
      </c>
      <c r="S70" s="9" t="n">
        <f aca="false">(P70/Q70)*100</f>
        <v>53.8641053829389</v>
      </c>
    </row>
    <row r="71" customFormat="false" ht="12.8" hidden="false" customHeight="false" outlineLevel="0" collapsed="false">
      <c r="A71" s="6" t="s">
        <v>50</v>
      </c>
      <c r="B71" s="7" t="s">
        <v>165</v>
      </c>
      <c r="C71" s="6" t="s">
        <v>170</v>
      </c>
      <c r="D71" s="7" t="s">
        <v>171</v>
      </c>
      <c r="E71" s="8" t="n">
        <v>4080</v>
      </c>
      <c r="F71" s="8" t="n">
        <v>5577</v>
      </c>
      <c r="G71" s="8" t="n">
        <v>9708</v>
      </c>
      <c r="H71" s="8" t="n">
        <v>8283</v>
      </c>
      <c r="I71" s="8" t="n">
        <v>6695</v>
      </c>
      <c r="J71" s="8" t="n">
        <v>6211</v>
      </c>
      <c r="K71" s="8" t="n">
        <v>4420</v>
      </c>
      <c r="L71" s="8" t="n">
        <v>7756</v>
      </c>
      <c r="M71" s="8" t="n">
        <v>4152</v>
      </c>
      <c r="N71" s="8" t="n">
        <v>6423</v>
      </c>
      <c r="O71" s="8" t="n">
        <f aca="false">E71+G71+I71+K71+M71</f>
        <v>29055</v>
      </c>
      <c r="P71" s="8" t="n">
        <f aca="false">F71+H71+J71+L71+N71</f>
        <v>34250</v>
      </c>
      <c r="Q71" s="8" t="n">
        <f aca="false">SUM(O71:P71)</f>
        <v>63305</v>
      </c>
      <c r="R71" s="9" t="n">
        <f aca="false">(O71/Q71)*100</f>
        <v>45.8968485901588</v>
      </c>
      <c r="S71" s="9" t="n">
        <f aca="false">(P71/Q71)*100</f>
        <v>54.1031514098412</v>
      </c>
    </row>
    <row r="72" customFormat="false" ht="12.8" hidden="false" customHeight="false" outlineLevel="0" collapsed="false">
      <c r="A72" s="6" t="s">
        <v>50</v>
      </c>
      <c r="B72" s="7" t="s">
        <v>165</v>
      </c>
      <c r="C72" s="6" t="s">
        <v>172</v>
      </c>
      <c r="D72" s="7" t="s">
        <v>173</v>
      </c>
      <c r="E72" s="8" t="n">
        <v>2892</v>
      </c>
      <c r="F72" s="8" t="n">
        <v>4225</v>
      </c>
      <c r="G72" s="8" t="n">
        <v>7046</v>
      </c>
      <c r="H72" s="8" t="n">
        <v>6443</v>
      </c>
      <c r="I72" s="8" t="n">
        <v>5834</v>
      </c>
      <c r="J72" s="8" t="n">
        <v>4750</v>
      </c>
      <c r="K72" s="8" t="n">
        <v>4267</v>
      </c>
      <c r="L72" s="8" t="n">
        <v>7440</v>
      </c>
      <c r="M72" s="8" t="n">
        <v>3614</v>
      </c>
      <c r="N72" s="8" t="n">
        <v>5531</v>
      </c>
      <c r="O72" s="8" t="n">
        <f aca="false">E72+G72+I72+K72+M72</f>
        <v>23653</v>
      </c>
      <c r="P72" s="8" t="n">
        <f aca="false">F72+H72+J72+L72+N72</f>
        <v>28389</v>
      </c>
      <c r="Q72" s="8" t="n">
        <f aca="false">SUM(O72:P72)</f>
        <v>52042</v>
      </c>
      <c r="R72" s="9" t="n">
        <f aca="false">(O72/Q72)*100</f>
        <v>45.4498289842819</v>
      </c>
      <c r="S72" s="9" t="n">
        <f aca="false">(P72/Q72)*100</f>
        <v>54.5501710157181</v>
      </c>
    </row>
    <row r="73" customFormat="false" ht="12.8" hidden="false" customHeight="false" outlineLevel="0" collapsed="false">
      <c r="A73" s="6" t="s">
        <v>50</v>
      </c>
      <c r="B73" s="7" t="s">
        <v>165</v>
      </c>
      <c r="C73" s="6" t="s">
        <v>174</v>
      </c>
      <c r="D73" s="7" t="s">
        <v>175</v>
      </c>
      <c r="E73" s="8" t="n">
        <v>2643</v>
      </c>
      <c r="F73" s="8" t="n">
        <v>3958</v>
      </c>
      <c r="G73" s="8" t="n">
        <v>7129</v>
      </c>
      <c r="H73" s="8" t="n">
        <v>6287</v>
      </c>
      <c r="I73" s="8" t="n">
        <v>5634</v>
      </c>
      <c r="J73" s="8" t="n">
        <v>4804</v>
      </c>
      <c r="K73" s="8" t="n">
        <v>3521</v>
      </c>
      <c r="L73" s="8" t="n">
        <v>7183</v>
      </c>
      <c r="M73" s="8" t="n">
        <v>3310</v>
      </c>
      <c r="N73" s="8" t="n">
        <v>5145</v>
      </c>
      <c r="O73" s="8" t="n">
        <f aca="false">E73+G73+I73+K73+M73</f>
        <v>22237</v>
      </c>
      <c r="P73" s="8" t="n">
        <f aca="false">F73+H73+J73+L73+N73</f>
        <v>27377</v>
      </c>
      <c r="Q73" s="8" t="n">
        <f aca="false">SUM(O73:P73)</f>
        <v>49614</v>
      </c>
      <c r="R73" s="9" t="n">
        <f aca="false">(O73/Q73)*100</f>
        <v>44.8200104809126</v>
      </c>
      <c r="S73" s="9" t="n">
        <f aca="false">(P73/Q73)*100</f>
        <v>55.1799895190874</v>
      </c>
    </row>
    <row r="74" customFormat="false" ht="12.8" hidden="false" customHeight="false" outlineLevel="0" collapsed="false">
      <c r="A74" s="6" t="s">
        <v>50</v>
      </c>
      <c r="B74" s="7" t="s">
        <v>165</v>
      </c>
      <c r="C74" s="6" t="s">
        <v>176</v>
      </c>
      <c r="D74" s="7" t="s">
        <v>177</v>
      </c>
      <c r="E74" s="8" t="n">
        <v>4613</v>
      </c>
      <c r="F74" s="8" t="n">
        <v>6254</v>
      </c>
      <c r="G74" s="8" t="n">
        <v>10096</v>
      </c>
      <c r="H74" s="8" t="n">
        <v>9826</v>
      </c>
      <c r="I74" s="8" t="n">
        <v>7671</v>
      </c>
      <c r="J74" s="8" t="n">
        <v>7061</v>
      </c>
      <c r="K74" s="8" t="n">
        <v>5066</v>
      </c>
      <c r="L74" s="8" t="n">
        <v>8584</v>
      </c>
      <c r="M74" s="8" t="n">
        <v>4835</v>
      </c>
      <c r="N74" s="8" t="n">
        <v>6730</v>
      </c>
      <c r="O74" s="8" t="n">
        <f aca="false">E74+G74+I74+K74+M74</f>
        <v>32281</v>
      </c>
      <c r="P74" s="8" t="n">
        <f aca="false">F74+H74+J74+L74+N74</f>
        <v>38455</v>
      </c>
      <c r="Q74" s="8" t="n">
        <f aca="false">SUM(O74:P74)</f>
        <v>70736</v>
      </c>
      <c r="R74" s="9" t="n">
        <f aca="false">(O74/Q74)*100</f>
        <v>45.6358855462565</v>
      </c>
      <c r="S74" s="9" t="n">
        <f aca="false">(P74/Q74)*100</f>
        <v>54.3641144537435</v>
      </c>
    </row>
    <row r="75" customFormat="false" ht="12.8" hidden="false" customHeight="false" outlineLevel="0" collapsed="false">
      <c r="A75" s="6" t="s">
        <v>50</v>
      </c>
      <c r="B75" s="7" t="s">
        <v>165</v>
      </c>
      <c r="C75" s="6" t="s">
        <v>178</v>
      </c>
      <c r="D75" s="7" t="s">
        <v>179</v>
      </c>
      <c r="E75" s="8" t="n">
        <v>3303</v>
      </c>
      <c r="F75" s="8" t="n">
        <v>4761</v>
      </c>
      <c r="G75" s="8" t="n">
        <v>8295</v>
      </c>
      <c r="H75" s="8" t="n">
        <v>7044</v>
      </c>
      <c r="I75" s="8" t="n">
        <v>6561</v>
      </c>
      <c r="J75" s="8" t="n">
        <v>5678</v>
      </c>
      <c r="K75" s="8" t="n">
        <v>3884</v>
      </c>
      <c r="L75" s="8" t="n">
        <v>8066</v>
      </c>
      <c r="M75" s="8" t="n">
        <v>3696</v>
      </c>
      <c r="N75" s="8" t="n">
        <v>6002</v>
      </c>
      <c r="O75" s="8" t="n">
        <f aca="false">E75+G75+I75+K75+M75</f>
        <v>25739</v>
      </c>
      <c r="P75" s="8" t="n">
        <f aca="false">F75+H75+J75+L75+N75</f>
        <v>31551</v>
      </c>
      <c r="Q75" s="8" t="n">
        <f aca="false">SUM(O75:P75)</f>
        <v>57290</v>
      </c>
      <c r="R75" s="9" t="n">
        <f aca="false">(O75/Q75)*100</f>
        <v>44.9275615290627</v>
      </c>
      <c r="S75" s="9" t="n">
        <f aca="false">(P75/Q75)*100</f>
        <v>55.0724384709373</v>
      </c>
    </row>
    <row r="76" customFormat="false" ht="12.8" hidden="false" customHeight="false" outlineLevel="0" collapsed="false">
      <c r="A76" s="6" t="s">
        <v>50</v>
      </c>
      <c r="B76" s="7" t="s">
        <v>165</v>
      </c>
      <c r="C76" s="6" t="s">
        <v>180</v>
      </c>
      <c r="D76" s="7" t="s">
        <v>181</v>
      </c>
      <c r="E76" s="8" t="n">
        <v>4456</v>
      </c>
      <c r="F76" s="8" t="n">
        <v>5451</v>
      </c>
      <c r="G76" s="8" t="n">
        <v>10482</v>
      </c>
      <c r="H76" s="8" t="n">
        <v>7669</v>
      </c>
      <c r="I76" s="8" t="n">
        <v>8258</v>
      </c>
      <c r="J76" s="8" t="n">
        <v>6240</v>
      </c>
      <c r="K76" s="8" t="n">
        <v>4878</v>
      </c>
      <c r="L76" s="8" t="n">
        <v>9587</v>
      </c>
      <c r="M76" s="8" t="n">
        <v>4334</v>
      </c>
      <c r="N76" s="8" t="n">
        <v>6830</v>
      </c>
      <c r="O76" s="8" t="n">
        <f aca="false">E76+G76+I76+K76+M76</f>
        <v>32408</v>
      </c>
      <c r="P76" s="8" t="n">
        <f aca="false">F76+H76+J76+L76+N76</f>
        <v>35777</v>
      </c>
      <c r="Q76" s="8" t="n">
        <f aca="false">SUM(O76:P76)</f>
        <v>68185</v>
      </c>
      <c r="R76" s="9" t="n">
        <f aca="false">(O76/Q76)*100</f>
        <v>47.5295152892865</v>
      </c>
      <c r="S76" s="9" t="n">
        <f aca="false">(P76/Q76)*100</f>
        <v>52.4704847107135</v>
      </c>
    </row>
    <row r="77" customFormat="false" ht="12.8" hidden="false" customHeight="false" outlineLevel="0" collapsed="false">
      <c r="A77" s="6" t="s">
        <v>52</v>
      </c>
      <c r="B77" s="7" t="s">
        <v>182</v>
      </c>
      <c r="C77" s="6" t="s">
        <v>183</v>
      </c>
      <c r="D77" s="7" t="s">
        <v>184</v>
      </c>
      <c r="E77" s="8" t="n">
        <v>3438</v>
      </c>
      <c r="F77" s="8" t="n">
        <v>4950</v>
      </c>
      <c r="G77" s="8" t="n">
        <v>8824</v>
      </c>
      <c r="H77" s="8" t="n">
        <v>8530</v>
      </c>
      <c r="I77" s="8" t="n">
        <v>6437</v>
      </c>
      <c r="J77" s="8" t="n">
        <v>5914</v>
      </c>
      <c r="K77" s="8" t="n">
        <v>4513</v>
      </c>
      <c r="L77" s="8" t="n">
        <v>8618</v>
      </c>
      <c r="M77" s="8" t="n">
        <v>4031</v>
      </c>
      <c r="N77" s="8" t="n">
        <v>6734</v>
      </c>
      <c r="O77" s="8" t="n">
        <f aca="false">E77+G77+I77+K77+M77</f>
        <v>27243</v>
      </c>
      <c r="P77" s="8" t="n">
        <f aca="false">F77+H77+J77+L77+N77</f>
        <v>34746</v>
      </c>
      <c r="Q77" s="8" t="n">
        <f aca="false">SUM(O77:P77)</f>
        <v>61989</v>
      </c>
      <c r="R77" s="9" t="n">
        <f aca="false">(O77/Q77)*100</f>
        <v>43.9481198277114</v>
      </c>
      <c r="S77" s="9" t="n">
        <f aca="false">(P77/Q77)*100</f>
        <v>56.0518801722886</v>
      </c>
    </row>
    <row r="78" customFormat="false" ht="12.8" hidden="false" customHeight="false" outlineLevel="0" collapsed="false">
      <c r="A78" s="6" t="s">
        <v>52</v>
      </c>
      <c r="B78" s="7" t="s">
        <v>182</v>
      </c>
      <c r="C78" s="6" t="s">
        <v>185</v>
      </c>
      <c r="D78" s="7" t="s">
        <v>186</v>
      </c>
      <c r="E78" s="8" t="n">
        <v>4560</v>
      </c>
      <c r="F78" s="8" t="n">
        <v>6392</v>
      </c>
      <c r="G78" s="8" t="n">
        <v>10631</v>
      </c>
      <c r="H78" s="8" t="n">
        <v>10272</v>
      </c>
      <c r="I78" s="8" t="n">
        <v>7553</v>
      </c>
      <c r="J78" s="8" t="n">
        <v>7262</v>
      </c>
      <c r="K78" s="8" t="n">
        <v>5244</v>
      </c>
      <c r="L78" s="8" t="n">
        <v>9845</v>
      </c>
      <c r="M78" s="8" t="n">
        <v>4591</v>
      </c>
      <c r="N78" s="8" t="n">
        <v>7590</v>
      </c>
      <c r="O78" s="8" t="n">
        <f aca="false">E78+G78+I78+K78+M78</f>
        <v>32579</v>
      </c>
      <c r="P78" s="8" t="n">
        <f aca="false">F78+H78+J78+L78+N78</f>
        <v>41361</v>
      </c>
      <c r="Q78" s="8" t="n">
        <f aca="false">SUM(O78:P78)</f>
        <v>73940</v>
      </c>
      <c r="R78" s="9" t="n">
        <f aca="false">(O78/Q78)*100</f>
        <v>44.0614011360563</v>
      </c>
      <c r="S78" s="9" t="n">
        <f aca="false">(P78/Q78)*100</f>
        <v>55.9385988639437</v>
      </c>
    </row>
    <row r="79" customFormat="false" ht="12.8" hidden="false" customHeight="false" outlineLevel="0" collapsed="false">
      <c r="A79" s="6" t="s">
        <v>52</v>
      </c>
      <c r="B79" s="7" t="s">
        <v>182</v>
      </c>
      <c r="C79" s="6" t="s">
        <v>187</v>
      </c>
      <c r="D79" s="7" t="s">
        <v>188</v>
      </c>
      <c r="E79" s="8" t="n">
        <v>2699</v>
      </c>
      <c r="F79" s="8" t="n">
        <v>3852</v>
      </c>
      <c r="G79" s="8" t="n">
        <v>6677</v>
      </c>
      <c r="H79" s="8" t="n">
        <v>7128</v>
      </c>
      <c r="I79" s="8" t="n">
        <v>5636</v>
      </c>
      <c r="J79" s="8" t="n">
        <v>5576</v>
      </c>
      <c r="K79" s="8" t="n">
        <v>3903</v>
      </c>
      <c r="L79" s="8" t="n">
        <v>7774</v>
      </c>
      <c r="M79" s="8" t="n">
        <v>3812</v>
      </c>
      <c r="N79" s="8" t="n">
        <v>6418</v>
      </c>
      <c r="O79" s="8" t="n">
        <f aca="false">E79+G79+I79+K79+M79</f>
        <v>22727</v>
      </c>
      <c r="P79" s="8" t="n">
        <f aca="false">F79+H79+J79+L79+N79</f>
        <v>30748</v>
      </c>
      <c r="Q79" s="8" t="n">
        <f aca="false">SUM(O79:P79)</f>
        <v>53475</v>
      </c>
      <c r="R79" s="9" t="n">
        <f aca="false">(O79/Q79)*100</f>
        <v>42.5002337540907</v>
      </c>
      <c r="S79" s="9" t="n">
        <f aca="false">(P79/Q79)*100</f>
        <v>57.4997662459093</v>
      </c>
    </row>
    <row r="80" customFormat="false" ht="12.8" hidden="false" customHeight="false" outlineLevel="0" collapsed="false">
      <c r="A80" s="6" t="s">
        <v>52</v>
      </c>
      <c r="B80" s="7" t="s">
        <v>182</v>
      </c>
      <c r="C80" s="6" t="s">
        <v>189</v>
      </c>
      <c r="D80" s="7" t="s">
        <v>190</v>
      </c>
      <c r="E80" s="8" t="n">
        <v>3270</v>
      </c>
      <c r="F80" s="8" t="n">
        <v>4632</v>
      </c>
      <c r="G80" s="8" t="n">
        <v>9024</v>
      </c>
      <c r="H80" s="8" t="n">
        <v>9794</v>
      </c>
      <c r="I80" s="8" t="n">
        <v>7143</v>
      </c>
      <c r="J80" s="8" t="n">
        <v>7744</v>
      </c>
      <c r="K80" s="8" t="n">
        <v>4759</v>
      </c>
      <c r="L80" s="8" t="n">
        <v>8365</v>
      </c>
      <c r="M80" s="8" t="n">
        <v>4828</v>
      </c>
      <c r="N80" s="8" t="n">
        <v>7052</v>
      </c>
      <c r="O80" s="8" t="n">
        <f aca="false">E80+G80+I80+K80+M80</f>
        <v>29024</v>
      </c>
      <c r="P80" s="8" t="n">
        <f aca="false">F80+H80+J80+L80+N80</f>
        <v>37587</v>
      </c>
      <c r="Q80" s="8" t="n">
        <f aca="false">SUM(O80:P80)</f>
        <v>66611</v>
      </c>
      <c r="R80" s="9" t="n">
        <f aca="false">(O80/Q80)*100</f>
        <v>43.5723829397547</v>
      </c>
      <c r="S80" s="9" t="n">
        <f aca="false">(P80/Q80)*100</f>
        <v>56.4276170602453</v>
      </c>
    </row>
    <row r="81" customFormat="false" ht="12.8" hidden="false" customHeight="false" outlineLevel="0" collapsed="false">
      <c r="A81" s="6" t="s">
        <v>52</v>
      </c>
      <c r="B81" s="7" t="s">
        <v>182</v>
      </c>
      <c r="C81" s="6" t="s">
        <v>191</v>
      </c>
      <c r="D81" s="7" t="s">
        <v>192</v>
      </c>
      <c r="E81" s="8" t="n">
        <v>3053</v>
      </c>
      <c r="F81" s="8" t="n">
        <v>4354</v>
      </c>
      <c r="G81" s="8" t="n">
        <v>7493</v>
      </c>
      <c r="H81" s="8" t="n">
        <v>7564</v>
      </c>
      <c r="I81" s="8" t="n">
        <v>5738</v>
      </c>
      <c r="J81" s="8" t="n">
        <v>5316</v>
      </c>
      <c r="K81" s="8" t="n">
        <v>3823</v>
      </c>
      <c r="L81" s="8" t="n">
        <v>7813</v>
      </c>
      <c r="M81" s="8" t="n">
        <v>3544</v>
      </c>
      <c r="N81" s="8" t="n">
        <v>6211</v>
      </c>
      <c r="O81" s="8" t="n">
        <f aca="false">E81+G81+I81+K81+M81</f>
        <v>23651</v>
      </c>
      <c r="P81" s="8" t="n">
        <f aca="false">F81+H81+J81+L81+N81</f>
        <v>31258</v>
      </c>
      <c r="Q81" s="8" t="n">
        <f aca="false">SUM(O81:P81)</f>
        <v>54909</v>
      </c>
      <c r="R81" s="9" t="n">
        <f aca="false">(O81/Q81)*100</f>
        <v>43.073084558087</v>
      </c>
      <c r="S81" s="9" t="n">
        <f aca="false">(P81/Q81)*100</f>
        <v>56.926915441913</v>
      </c>
    </row>
    <row r="82" customFormat="false" ht="12.8" hidden="false" customHeight="false" outlineLevel="0" collapsed="false">
      <c r="A82" s="6" t="s">
        <v>52</v>
      </c>
      <c r="B82" s="7" t="s">
        <v>182</v>
      </c>
      <c r="C82" s="6" t="s">
        <v>193</v>
      </c>
      <c r="D82" s="7" t="s">
        <v>194</v>
      </c>
      <c r="E82" s="8" t="n">
        <v>9610</v>
      </c>
      <c r="F82" s="8" t="n">
        <v>11984</v>
      </c>
      <c r="G82" s="8" t="n">
        <v>20956</v>
      </c>
      <c r="H82" s="8" t="n">
        <v>27182</v>
      </c>
      <c r="I82" s="8" t="n">
        <v>11384</v>
      </c>
      <c r="J82" s="8" t="n">
        <v>16553</v>
      </c>
      <c r="K82" s="8" t="n">
        <v>4869</v>
      </c>
      <c r="L82" s="8" t="n">
        <v>2978</v>
      </c>
      <c r="M82" s="8" t="n">
        <v>8085</v>
      </c>
      <c r="N82" s="8" t="n">
        <v>4579</v>
      </c>
      <c r="O82" s="8" t="n">
        <f aca="false">E82+G82+I82+K82+M82</f>
        <v>54904</v>
      </c>
      <c r="P82" s="8" t="n">
        <f aca="false">F82+H82+J82+L82+N82</f>
        <v>63276</v>
      </c>
      <c r="Q82" s="8" t="n">
        <f aca="false">SUM(O82:P82)</f>
        <v>118180</v>
      </c>
      <c r="R82" s="9" t="n">
        <f aca="false">(O82/Q82)*100</f>
        <v>46.457945506854</v>
      </c>
      <c r="S82" s="9" t="n">
        <f aca="false">(P82/Q82)*100</f>
        <v>53.5420544931461</v>
      </c>
    </row>
    <row r="83" customFormat="false" ht="12.8" hidden="false" customHeight="false" outlineLevel="0" collapsed="false">
      <c r="A83" s="6" t="s">
        <v>52</v>
      </c>
      <c r="B83" s="7" t="s">
        <v>182</v>
      </c>
      <c r="C83" s="6" t="s">
        <v>195</v>
      </c>
      <c r="D83" s="7" t="s">
        <v>196</v>
      </c>
      <c r="E83" s="8" t="n">
        <v>6932</v>
      </c>
      <c r="F83" s="8" t="n">
        <v>9261</v>
      </c>
      <c r="G83" s="8" t="n">
        <v>15744</v>
      </c>
      <c r="H83" s="8" t="n">
        <v>17380</v>
      </c>
      <c r="I83" s="8" t="n">
        <v>10765</v>
      </c>
      <c r="J83" s="8" t="n">
        <v>11518</v>
      </c>
      <c r="K83" s="8" t="n">
        <v>7622</v>
      </c>
      <c r="L83" s="8" t="n">
        <v>12512</v>
      </c>
      <c r="M83" s="8" t="n">
        <v>7594</v>
      </c>
      <c r="N83" s="8" t="n">
        <v>10549</v>
      </c>
      <c r="O83" s="8" t="n">
        <f aca="false">E83+G83+I83+K83+M83</f>
        <v>48657</v>
      </c>
      <c r="P83" s="8" t="n">
        <f aca="false">F83+H83+J83+L83+N83</f>
        <v>61220</v>
      </c>
      <c r="Q83" s="8" t="n">
        <f aca="false">SUM(O83:P83)</f>
        <v>109877</v>
      </c>
      <c r="R83" s="9" t="n">
        <f aca="false">(O83/Q83)*100</f>
        <v>44.2831529801505</v>
      </c>
      <c r="S83" s="9" t="n">
        <f aca="false">(P83/Q83)*100</f>
        <v>55.7168470198495</v>
      </c>
    </row>
    <row r="84" customFormat="false" ht="12.8" hidden="false" customHeight="false" outlineLevel="0" collapsed="false">
      <c r="A84" s="6" t="s">
        <v>52</v>
      </c>
      <c r="B84" s="7" t="s">
        <v>182</v>
      </c>
      <c r="C84" s="6" t="s">
        <v>197</v>
      </c>
      <c r="D84" s="7" t="s">
        <v>198</v>
      </c>
      <c r="E84" s="8" t="n">
        <v>3435</v>
      </c>
      <c r="F84" s="8" t="n">
        <v>5902</v>
      </c>
      <c r="G84" s="8" t="n">
        <v>10092</v>
      </c>
      <c r="H84" s="8" t="n">
        <v>10585</v>
      </c>
      <c r="I84" s="8" t="n">
        <v>8698</v>
      </c>
      <c r="J84" s="8" t="n">
        <v>7781</v>
      </c>
      <c r="K84" s="8" t="n">
        <v>6533</v>
      </c>
      <c r="L84" s="8" t="n">
        <v>12636</v>
      </c>
      <c r="M84" s="8" t="n">
        <v>5670</v>
      </c>
      <c r="N84" s="8" t="n">
        <v>9941</v>
      </c>
      <c r="O84" s="8" t="n">
        <f aca="false">E84+G84+I84+K84+M84</f>
        <v>34428</v>
      </c>
      <c r="P84" s="8" t="n">
        <f aca="false">F84+H84+J84+L84+N84</f>
        <v>46845</v>
      </c>
      <c r="Q84" s="8" t="n">
        <f aca="false">SUM(O84:P84)</f>
        <v>81273</v>
      </c>
      <c r="R84" s="9" t="n">
        <f aca="false">(O84/Q84)*100</f>
        <v>42.3609316747259</v>
      </c>
      <c r="S84" s="9" t="n">
        <f aca="false">(P84/Q84)*100</f>
        <v>57.6390683252741</v>
      </c>
    </row>
    <row r="85" customFormat="false" ht="12.8" hidden="false" customHeight="false" outlineLevel="0" collapsed="false">
      <c r="A85" s="6" t="s">
        <v>54</v>
      </c>
      <c r="B85" s="7" t="s">
        <v>199</v>
      </c>
      <c r="C85" s="6" t="s">
        <v>200</v>
      </c>
      <c r="D85" s="7" t="s">
        <v>201</v>
      </c>
      <c r="E85" s="8" t="n">
        <v>4294</v>
      </c>
      <c r="F85" s="8" t="n">
        <v>6919</v>
      </c>
      <c r="G85" s="8" t="n">
        <v>11070</v>
      </c>
      <c r="H85" s="8" t="n">
        <v>10406</v>
      </c>
      <c r="I85" s="8" t="n">
        <v>9508</v>
      </c>
      <c r="J85" s="8" t="n">
        <v>7681</v>
      </c>
      <c r="K85" s="8" t="n">
        <v>6693</v>
      </c>
      <c r="L85" s="8" t="n">
        <v>13533</v>
      </c>
      <c r="M85" s="8" t="n">
        <v>5475</v>
      </c>
      <c r="N85" s="8" t="n">
        <v>10297</v>
      </c>
      <c r="O85" s="8" t="n">
        <f aca="false">E85+G85+I85+K85+M85</f>
        <v>37040</v>
      </c>
      <c r="P85" s="8" t="n">
        <f aca="false">F85+H85+J85+L85+N85</f>
        <v>48836</v>
      </c>
      <c r="Q85" s="8" t="n">
        <f aca="false">SUM(O85:P85)</f>
        <v>85876</v>
      </c>
      <c r="R85" s="9" t="n">
        <f aca="false">(O85/Q85)*100</f>
        <v>43.1319577064605</v>
      </c>
      <c r="S85" s="9" t="n">
        <f aca="false">(P85/Q85)*100</f>
        <v>56.8680422935395</v>
      </c>
    </row>
    <row r="86" customFormat="false" ht="12.8" hidden="false" customHeight="false" outlineLevel="0" collapsed="false">
      <c r="A86" s="6" t="s">
        <v>54</v>
      </c>
      <c r="B86" s="7" t="s">
        <v>199</v>
      </c>
      <c r="C86" s="6" t="s">
        <v>202</v>
      </c>
      <c r="D86" s="7" t="s">
        <v>203</v>
      </c>
      <c r="E86" s="8" t="n">
        <v>2764</v>
      </c>
      <c r="F86" s="8" t="n">
        <v>4649</v>
      </c>
      <c r="G86" s="8" t="n">
        <v>6483</v>
      </c>
      <c r="H86" s="8" t="n">
        <v>7472</v>
      </c>
      <c r="I86" s="8" t="n">
        <v>4769</v>
      </c>
      <c r="J86" s="8" t="n">
        <v>5069</v>
      </c>
      <c r="K86" s="8" t="n">
        <v>3747</v>
      </c>
      <c r="L86" s="8" t="n">
        <v>6199</v>
      </c>
      <c r="M86" s="8" t="n">
        <v>3666</v>
      </c>
      <c r="N86" s="8" t="n">
        <v>5414</v>
      </c>
      <c r="O86" s="8" t="n">
        <f aca="false">E86+G86+I86+K86+M86</f>
        <v>21429</v>
      </c>
      <c r="P86" s="8" t="n">
        <f aca="false">F86+H86+J86+L86+N86</f>
        <v>28803</v>
      </c>
      <c r="Q86" s="8" t="n">
        <f aca="false">SUM(O86:P86)</f>
        <v>50232</v>
      </c>
      <c r="R86" s="9" t="n">
        <f aca="false">(O86/Q86)*100</f>
        <v>42.6600573339704</v>
      </c>
      <c r="S86" s="9" t="n">
        <f aca="false">(P86/Q86)*100</f>
        <v>57.3399426660296</v>
      </c>
    </row>
    <row r="87" customFormat="false" ht="12.8" hidden="false" customHeight="false" outlineLevel="0" collapsed="false">
      <c r="A87" s="6" t="s">
        <v>54</v>
      </c>
      <c r="B87" s="7" t="s">
        <v>199</v>
      </c>
      <c r="C87" s="6" t="s">
        <v>204</v>
      </c>
      <c r="D87" s="7" t="s">
        <v>205</v>
      </c>
      <c r="E87" s="8" t="n">
        <v>2849</v>
      </c>
      <c r="F87" s="8" t="n">
        <v>5074</v>
      </c>
      <c r="G87" s="8" t="n">
        <v>7034</v>
      </c>
      <c r="H87" s="8" t="n">
        <v>7612</v>
      </c>
      <c r="I87" s="8" t="n">
        <v>5991</v>
      </c>
      <c r="J87" s="8" t="n">
        <v>5228</v>
      </c>
      <c r="K87" s="8" t="n">
        <v>4453</v>
      </c>
      <c r="L87" s="8" t="n">
        <v>8975</v>
      </c>
      <c r="M87" s="8" t="n">
        <v>3934</v>
      </c>
      <c r="N87" s="8" t="n">
        <v>6802</v>
      </c>
      <c r="O87" s="8" t="n">
        <f aca="false">E87+G87+I87+K87+M87</f>
        <v>24261</v>
      </c>
      <c r="P87" s="8" t="n">
        <f aca="false">F87+H87+J87+L87+N87</f>
        <v>33691</v>
      </c>
      <c r="Q87" s="8" t="n">
        <f aca="false">SUM(O87:P87)</f>
        <v>57952</v>
      </c>
      <c r="R87" s="9" t="n">
        <f aca="false">(O87/Q87)*100</f>
        <v>41.8639563776919</v>
      </c>
      <c r="S87" s="9" t="n">
        <f aca="false">(P87/Q87)*100</f>
        <v>58.1360436223081</v>
      </c>
    </row>
    <row r="88" customFormat="false" ht="12.8" hidden="false" customHeight="false" outlineLevel="0" collapsed="false">
      <c r="A88" s="6" t="s">
        <v>54</v>
      </c>
      <c r="B88" s="7" t="s">
        <v>199</v>
      </c>
      <c r="C88" s="6" t="s">
        <v>206</v>
      </c>
      <c r="D88" s="7" t="s">
        <v>199</v>
      </c>
      <c r="E88" s="8" t="n">
        <v>4649</v>
      </c>
      <c r="F88" s="8" t="n">
        <v>7360</v>
      </c>
      <c r="G88" s="8" t="n">
        <v>12337</v>
      </c>
      <c r="H88" s="8" t="n">
        <v>12759</v>
      </c>
      <c r="I88" s="8" t="n">
        <v>10065</v>
      </c>
      <c r="J88" s="8" t="n">
        <v>9117</v>
      </c>
      <c r="K88" s="8" t="n">
        <v>6569</v>
      </c>
      <c r="L88" s="8" t="n">
        <v>11967</v>
      </c>
      <c r="M88" s="8" t="n">
        <v>6192</v>
      </c>
      <c r="N88" s="8" t="n">
        <v>9802</v>
      </c>
      <c r="O88" s="8" t="n">
        <f aca="false">E88+G88+I88+K88+M88</f>
        <v>39812</v>
      </c>
      <c r="P88" s="8" t="n">
        <f aca="false">F88+H88+J88+L88+N88</f>
        <v>51005</v>
      </c>
      <c r="Q88" s="8" t="n">
        <f aca="false">SUM(O88:P88)</f>
        <v>90817</v>
      </c>
      <c r="R88" s="9" t="n">
        <f aca="false">(O88/Q88)*100</f>
        <v>43.8376074963939</v>
      </c>
      <c r="S88" s="9" t="n">
        <f aca="false">(P88/Q88)*100</f>
        <v>56.1623925036062</v>
      </c>
    </row>
    <row r="89" customFormat="false" ht="12.8" hidden="false" customHeight="false" outlineLevel="0" collapsed="false">
      <c r="A89" s="6" t="s">
        <v>54</v>
      </c>
      <c r="B89" s="7" t="s">
        <v>199</v>
      </c>
      <c r="C89" s="6" t="s">
        <v>207</v>
      </c>
      <c r="D89" s="7" t="s">
        <v>208</v>
      </c>
      <c r="E89" s="8" t="n">
        <v>4431</v>
      </c>
      <c r="F89" s="8" t="n">
        <v>6785</v>
      </c>
      <c r="G89" s="8" t="n">
        <v>11834</v>
      </c>
      <c r="H89" s="8" t="n">
        <v>12298</v>
      </c>
      <c r="I89" s="8" t="n">
        <v>8857</v>
      </c>
      <c r="J89" s="8" t="n">
        <v>9123</v>
      </c>
      <c r="K89" s="8" t="n">
        <v>5325</v>
      </c>
      <c r="L89" s="8" t="n">
        <v>8995</v>
      </c>
      <c r="M89" s="8" t="n">
        <v>5568</v>
      </c>
      <c r="N89" s="8" t="n">
        <v>7589</v>
      </c>
      <c r="O89" s="8" t="n">
        <f aca="false">E89+G89+I89+K89+M89</f>
        <v>36015</v>
      </c>
      <c r="P89" s="8" t="n">
        <f aca="false">F89+H89+J89+L89+N89</f>
        <v>44790</v>
      </c>
      <c r="Q89" s="8" t="n">
        <f aca="false">SUM(O89:P89)</f>
        <v>80805</v>
      </c>
      <c r="R89" s="9" t="n">
        <f aca="false">(O89/Q89)*100</f>
        <v>44.5702617412289</v>
      </c>
      <c r="S89" s="9" t="n">
        <f aca="false">(P89/Q89)*100</f>
        <v>55.4297382587711</v>
      </c>
    </row>
    <row r="90" customFormat="false" ht="12.8" hidden="false" customHeight="false" outlineLevel="0" collapsed="false">
      <c r="A90" s="6" t="s">
        <v>54</v>
      </c>
      <c r="B90" s="7" t="s">
        <v>199</v>
      </c>
      <c r="C90" s="6" t="s">
        <v>209</v>
      </c>
      <c r="D90" s="7" t="s">
        <v>210</v>
      </c>
      <c r="E90" s="8" t="n">
        <v>2851</v>
      </c>
      <c r="F90" s="8" t="n">
        <v>4678</v>
      </c>
      <c r="G90" s="8" t="n">
        <v>8095</v>
      </c>
      <c r="H90" s="8" t="n">
        <v>8279</v>
      </c>
      <c r="I90" s="8" t="n">
        <v>6082</v>
      </c>
      <c r="J90" s="8" t="n">
        <v>6018</v>
      </c>
      <c r="K90" s="8" t="n">
        <v>4007</v>
      </c>
      <c r="L90" s="8" t="n">
        <v>7522</v>
      </c>
      <c r="M90" s="8" t="n">
        <v>3894</v>
      </c>
      <c r="N90" s="8" t="n">
        <v>6202</v>
      </c>
      <c r="O90" s="8" t="n">
        <f aca="false">E90+G90+I90+K90+M90</f>
        <v>24929</v>
      </c>
      <c r="P90" s="8" t="n">
        <f aca="false">F90+H90+J90+L90+N90</f>
        <v>32699</v>
      </c>
      <c r="Q90" s="8" t="n">
        <f aca="false">SUM(O90:P90)</f>
        <v>57628</v>
      </c>
      <c r="R90" s="9" t="n">
        <f aca="false">(O90/Q90)*100</f>
        <v>43.2584854584577</v>
      </c>
      <c r="S90" s="9" t="n">
        <f aca="false">(P90/Q90)*100</f>
        <v>56.7415145415423</v>
      </c>
    </row>
    <row r="91" customFormat="false" ht="12.8" hidden="false" customHeight="false" outlineLevel="0" collapsed="false">
      <c r="A91" s="6" t="s">
        <v>57</v>
      </c>
      <c r="B91" s="7" t="s">
        <v>211</v>
      </c>
      <c r="C91" s="6" t="s">
        <v>212</v>
      </c>
      <c r="D91" s="7" t="s">
        <v>213</v>
      </c>
      <c r="E91" s="8" t="n">
        <v>8607</v>
      </c>
      <c r="F91" s="8" t="n">
        <v>10702</v>
      </c>
      <c r="G91" s="8" t="n">
        <v>16395</v>
      </c>
      <c r="H91" s="8" t="n">
        <v>16153</v>
      </c>
      <c r="I91" s="8" t="n">
        <v>11684</v>
      </c>
      <c r="J91" s="8" t="n">
        <v>11199</v>
      </c>
      <c r="K91" s="8" t="n">
        <v>8356</v>
      </c>
      <c r="L91" s="8" t="n">
        <v>9662</v>
      </c>
      <c r="M91" s="8" t="n">
        <v>8227</v>
      </c>
      <c r="N91" s="8" t="n">
        <v>8256</v>
      </c>
      <c r="O91" s="8" t="n">
        <f aca="false">E91+G91+I91+K91+M91</f>
        <v>53269</v>
      </c>
      <c r="P91" s="8" t="n">
        <f aca="false">F91+H91+J91+L91+N91</f>
        <v>55972</v>
      </c>
      <c r="Q91" s="8" t="n">
        <f aca="false">SUM(O91:P91)</f>
        <v>109241</v>
      </c>
      <c r="R91" s="9" t="n">
        <f aca="false">(O91/Q91)*100</f>
        <v>48.7628271436549</v>
      </c>
      <c r="S91" s="9" t="n">
        <f aca="false">(P91/Q91)*100</f>
        <v>51.2371728563451</v>
      </c>
    </row>
    <row r="92" customFormat="false" ht="12.8" hidden="false" customHeight="false" outlineLevel="0" collapsed="false">
      <c r="A92" s="6" t="s">
        <v>57</v>
      </c>
      <c r="B92" s="7" t="s">
        <v>211</v>
      </c>
      <c r="C92" s="6" t="s">
        <v>214</v>
      </c>
      <c r="D92" s="7" t="s">
        <v>215</v>
      </c>
      <c r="E92" s="8" t="n">
        <v>3658</v>
      </c>
      <c r="F92" s="8" t="n">
        <v>4760</v>
      </c>
      <c r="G92" s="8" t="n">
        <v>6724</v>
      </c>
      <c r="H92" s="8" t="n">
        <v>6610</v>
      </c>
      <c r="I92" s="8" t="n">
        <v>5183</v>
      </c>
      <c r="J92" s="8" t="n">
        <v>4915</v>
      </c>
      <c r="K92" s="8" t="n">
        <v>3946</v>
      </c>
      <c r="L92" s="8" t="n">
        <v>5943</v>
      </c>
      <c r="M92" s="8" t="n">
        <v>3739</v>
      </c>
      <c r="N92" s="8" t="n">
        <v>4938</v>
      </c>
      <c r="O92" s="8" t="n">
        <f aca="false">E92+G92+I92+K92+M92</f>
        <v>23250</v>
      </c>
      <c r="P92" s="8" t="n">
        <f aca="false">F92+H92+J92+L92+N92</f>
        <v>27166</v>
      </c>
      <c r="Q92" s="8" t="n">
        <f aca="false">SUM(O92:P92)</f>
        <v>50416</v>
      </c>
      <c r="R92" s="9" t="n">
        <f aca="false">(O92/Q92)*100</f>
        <v>46.1163122818153</v>
      </c>
      <c r="S92" s="9" t="n">
        <f aca="false">(P92/Q92)*100</f>
        <v>53.8836877181847</v>
      </c>
    </row>
    <row r="93" customFormat="false" ht="12.8" hidden="false" customHeight="false" outlineLevel="0" collapsed="false">
      <c r="A93" s="6" t="s">
        <v>57</v>
      </c>
      <c r="B93" s="7" t="s">
        <v>211</v>
      </c>
      <c r="C93" s="6" t="s">
        <v>216</v>
      </c>
      <c r="D93" s="7" t="s">
        <v>217</v>
      </c>
      <c r="E93" s="8" t="n">
        <v>5385</v>
      </c>
      <c r="F93" s="8" t="n">
        <v>6674</v>
      </c>
      <c r="G93" s="8" t="n">
        <v>10025</v>
      </c>
      <c r="H93" s="8" t="n">
        <v>9679</v>
      </c>
      <c r="I93" s="8" t="n">
        <v>6708</v>
      </c>
      <c r="J93" s="8" t="n">
        <v>6798</v>
      </c>
      <c r="K93" s="8" t="n">
        <v>5118</v>
      </c>
      <c r="L93" s="8" t="n">
        <v>6966</v>
      </c>
      <c r="M93" s="8" t="n">
        <v>4955</v>
      </c>
      <c r="N93" s="8" t="n">
        <v>6068</v>
      </c>
      <c r="O93" s="8" t="n">
        <f aca="false">E93+G93+I93+K93+M93</f>
        <v>32191</v>
      </c>
      <c r="P93" s="8" t="n">
        <f aca="false">F93+H93+J93+L93+N93</f>
        <v>36185</v>
      </c>
      <c r="Q93" s="8" t="n">
        <f aca="false">SUM(O93:P93)</f>
        <v>68376</v>
      </c>
      <c r="R93" s="9" t="n">
        <f aca="false">(O93/Q93)*100</f>
        <v>47.0793845793846</v>
      </c>
      <c r="S93" s="9" t="n">
        <f aca="false">(P93/Q93)*100</f>
        <v>52.9206154206154</v>
      </c>
    </row>
    <row r="94" customFormat="false" ht="12.8" hidden="false" customHeight="false" outlineLevel="0" collapsed="false">
      <c r="A94" s="6" t="s">
        <v>57</v>
      </c>
      <c r="B94" s="7" t="s">
        <v>211</v>
      </c>
      <c r="C94" s="6" t="s">
        <v>218</v>
      </c>
      <c r="D94" s="7" t="s">
        <v>219</v>
      </c>
      <c r="E94" s="8" t="n">
        <v>4390</v>
      </c>
      <c r="F94" s="8" t="n">
        <v>5364</v>
      </c>
      <c r="G94" s="8" t="n">
        <v>7786</v>
      </c>
      <c r="H94" s="8" t="n">
        <v>7192</v>
      </c>
      <c r="I94" s="8" t="n">
        <v>5818</v>
      </c>
      <c r="J94" s="8" t="n">
        <v>5377</v>
      </c>
      <c r="K94" s="8" t="n">
        <v>4438</v>
      </c>
      <c r="L94" s="8" t="n">
        <v>5555</v>
      </c>
      <c r="M94" s="8" t="n">
        <v>4059</v>
      </c>
      <c r="N94" s="8" t="n">
        <v>4791</v>
      </c>
      <c r="O94" s="8" t="n">
        <f aca="false">E94+G94+I94+K94+M94</f>
        <v>26491</v>
      </c>
      <c r="P94" s="8" t="n">
        <f aca="false">F94+H94+J94+L94+N94</f>
        <v>28279</v>
      </c>
      <c r="Q94" s="8" t="n">
        <f aca="false">SUM(O94:P94)</f>
        <v>54770</v>
      </c>
      <c r="R94" s="9" t="n">
        <f aca="false">(O94/Q94)*100</f>
        <v>48.3677195545006</v>
      </c>
      <c r="S94" s="9" t="n">
        <f aca="false">(P94/Q94)*100</f>
        <v>51.6322804454994</v>
      </c>
    </row>
    <row r="95" customFormat="false" ht="12.8" hidden="false" customHeight="false" outlineLevel="0" collapsed="false">
      <c r="A95" s="6" t="s">
        <v>57</v>
      </c>
      <c r="B95" s="7" t="s">
        <v>211</v>
      </c>
      <c r="C95" s="6" t="s">
        <v>220</v>
      </c>
      <c r="D95" s="7" t="s">
        <v>221</v>
      </c>
      <c r="E95" s="8" t="n">
        <v>3218</v>
      </c>
      <c r="F95" s="8" t="n">
        <v>4103</v>
      </c>
      <c r="G95" s="8" t="n">
        <v>6977</v>
      </c>
      <c r="H95" s="8" t="n">
        <v>6538</v>
      </c>
      <c r="I95" s="8" t="n">
        <v>5513</v>
      </c>
      <c r="J95" s="8" t="n">
        <v>5281</v>
      </c>
      <c r="K95" s="8" t="n">
        <v>4620</v>
      </c>
      <c r="L95" s="8" t="n">
        <v>6780</v>
      </c>
      <c r="M95" s="8" t="n">
        <v>4149</v>
      </c>
      <c r="N95" s="8" t="n">
        <v>5652</v>
      </c>
      <c r="O95" s="8" t="n">
        <f aca="false">E95+G95+I95+K95+M95</f>
        <v>24477</v>
      </c>
      <c r="P95" s="8" t="n">
        <f aca="false">F95+H95+J95+L95+N95</f>
        <v>28354</v>
      </c>
      <c r="Q95" s="8" t="n">
        <f aca="false">SUM(O95:P95)</f>
        <v>52831</v>
      </c>
      <c r="R95" s="9" t="n">
        <f aca="false">(O95/Q95)*100</f>
        <v>46.3307527777252</v>
      </c>
      <c r="S95" s="9" t="n">
        <f aca="false">(P95/Q95)*100</f>
        <v>53.6692472222748</v>
      </c>
    </row>
    <row r="96" customFormat="false" ht="12.8" hidden="false" customHeight="false" outlineLevel="0" collapsed="false">
      <c r="A96" s="6" t="s">
        <v>59</v>
      </c>
      <c r="B96" s="7" t="s">
        <v>222</v>
      </c>
      <c r="C96" s="6" t="s">
        <v>223</v>
      </c>
      <c r="D96" s="7" t="s">
        <v>224</v>
      </c>
      <c r="E96" s="8" t="n">
        <v>3466</v>
      </c>
      <c r="F96" s="8" t="n">
        <v>4158</v>
      </c>
      <c r="G96" s="8" t="n">
        <v>5980</v>
      </c>
      <c r="H96" s="8" t="n">
        <v>6330</v>
      </c>
      <c r="I96" s="8" t="n">
        <v>4771</v>
      </c>
      <c r="J96" s="8" t="n">
        <v>4703</v>
      </c>
      <c r="K96" s="8" t="n">
        <v>4346</v>
      </c>
      <c r="L96" s="8" t="n">
        <v>7744</v>
      </c>
      <c r="M96" s="8" t="n">
        <v>3735</v>
      </c>
      <c r="N96" s="8" t="n">
        <v>6483</v>
      </c>
      <c r="O96" s="8" t="n">
        <f aca="false">E96+G96+I96+K96+M96</f>
        <v>22298</v>
      </c>
      <c r="P96" s="8" t="n">
        <f aca="false">F96+H96+J96+L96+N96</f>
        <v>29418</v>
      </c>
      <c r="Q96" s="8" t="n">
        <f aca="false">SUM(O96:P96)</f>
        <v>51716</v>
      </c>
      <c r="R96" s="9" t="n">
        <f aca="false">(O96/Q96)*100</f>
        <v>43.1162502900456</v>
      </c>
      <c r="S96" s="9" t="n">
        <f aca="false">(P96/Q96)*100</f>
        <v>56.8837497099544</v>
      </c>
    </row>
    <row r="97" customFormat="false" ht="12.8" hidden="false" customHeight="false" outlineLevel="0" collapsed="false">
      <c r="A97" s="6" t="s">
        <v>59</v>
      </c>
      <c r="B97" s="7" t="s">
        <v>222</v>
      </c>
      <c r="C97" s="6" t="s">
        <v>225</v>
      </c>
      <c r="D97" s="7" t="s">
        <v>226</v>
      </c>
      <c r="E97" s="8" t="n">
        <v>7312</v>
      </c>
      <c r="F97" s="8" t="n">
        <v>8727</v>
      </c>
      <c r="G97" s="8" t="n">
        <v>15118</v>
      </c>
      <c r="H97" s="8" t="n">
        <v>15053</v>
      </c>
      <c r="I97" s="8" t="n">
        <v>11844</v>
      </c>
      <c r="J97" s="8" t="n">
        <v>11832</v>
      </c>
      <c r="K97" s="8" t="n">
        <v>9125</v>
      </c>
      <c r="L97" s="8" t="n">
        <v>10931</v>
      </c>
      <c r="M97" s="8" t="n">
        <v>9290</v>
      </c>
      <c r="N97" s="8" t="n">
        <v>9769</v>
      </c>
      <c r="O97" s="8" t="n">
        <f aca="false">E97+G97+I97+K97+M97</f>
        <v>52689</v>
      </c>
      <c r="P97" s="8" t="n">
        <f aca="false">F97+H97+J97+L97+N97</f>
        <v>56312</v>
      </c>
      <c r="Q97" s="8" t="n">
        <f aca="false">SUM(O97:P97)</f>
        <v>109001</v>
      </c>
      <c r="R97" s="9" t="n">
        <f aca="false">(O97/Q97)*100</f>
        <v>48.3380886413886</v>
      </c>
      <c r="S97" s="9" t="n">
        <f aca="false">(P97/Q97)*100</f>
        <v>51.6619113586114</v>
      </c>
    </row>
    <row r="98" customFormat="false" ht="12.8" hidden="false" customHeight="false" outlineLevel="0" collapsed="false">
      <c r="A98" s="6" t="s">
        <v>59</v>
      </c>
      <c r="B98" s="7" t="s">
        <v>222</v>
      </c>
      <c r="C98" s="6" t="s">
        <v>227</v>
      </c>
      <c r="D98" s="7" t="s">
        <v>228</v>
      </c>
      <c r="E98" s="8" t="n">
        <v>6465</v>
      </c>
      <c r="F98" s="8" t="n">
        <v>7456</v>
      </c>
      <c r="G98" s="8" t="n">
        <v>12511</v>
      </c>
      <c r="H98" s="8" t="n">
        <v>12692</v>
      </c>
      <c r="I98" s="8" t="n">
        <v>9932</v>
      </c>
      <c r="J98" s="8" t="n">
        <v>9766</v>
      </c>
      <c r="K98" s="8" t="n">
        <v>8404</v>
      </c>
      <c r="L98" s="8" t="n">
        <v>13331</v>
      </c>
      <c r="M98" s="8" t="n">
        <v>8046</v>
      </c>
      <c r="N98" s="8" t="n">
        <v>10893</v>
      </c>
      <c r="O98" s="8" t="n">
        <f aca="false">E98+G98+I98+K98+M98</f>
        <v>45358</v>
      </c>
      <c r="P98" s="8" t="n">
        <f aca="false">F98+H98+J98+L98+N98</f>
        <v>54138</v>
      </c>
      <c r="Q98" s="8" t="n">
        <f aca="false">SUM(O98:P98)</f>
        <v>99496</v>
      </c>
      <c r="R98" s="9" t="n">
        <f aca="false">(O98/Q98)*100</f>
        <v>45.5877623221034</v>
      </c>
      <c r="S98" s="9" t="n">
        <f aca="false">(P98/Q98)*100</f>
        <v>54.4122376778966</v>
      </c>
    </row>
    <row r="99" customFormat="false" ht="12.8" hidden="false" customHeight="false" outlineLevel="0" collapsed="false">
      <c r="A99" s="6" t="s">
        <v>59</v>
      </c>
      <c r="B99" s="7" t="s">
        <v>222</v>
      </c>
      <c r="C99" s="6" t="s">
        <v>229</v>
      </c>
      <c r="D99" s="7" t="s">
        <v>230</v>
      </c>
      <c r="E99" s="8" t="n">
        <v>3911</v>
      </c>
      <c r="F99" s="8" t="n">
        <v>4474</v>
      </c>
      <c r="G99" s="8" t="n">
        <v>7257</v>
      </c>
      <c r="H99" s="8" t="n">
        <v>7435</v>
      </c>
      <c r="I99" s="8" t="n">
        <v>5907</v>
      </c>
      <c r="J99" s="8" t="n">
        <v>5710</v>
      </c>
      <c r="K99" s="8" t="n">
        <v>4994</v>
      </c>
      <c r="L99" s="8" t="n">
        <v>7980</v>
      </c>
      <c r="M99" s="8" t="n">
        <v>4586</v>
      </c>
      <c r="N99" s="8" t="n">
        <v>6312</v>
      </c>
      <c r="O99" s="8" t="n">
        <f aca="false">E99+G99+I99+K99+M99</f>
        <v>26655</v>
      </c>
      <c r="P99" s="8" t="n">
        <f aca="false">F99+H99+J99+L99+N99</f>
        <v>31911</v>
      </c>
      <c r="Q99" s="8" t="n">
        <f aca="false">SUM(O99:P99)</f>
        <v>58566</v>
      </c>
      <c r="R99" s="9" t="n">
        <f aca="false">(O99/Q99)*100</f>
        <v>45.5127548406926</v>
      </c>
      <c r="S99" s="9" t="n">
        <f aca="false">(P99/Q99)*100</f>
        <v>54.4872451593075</v>
      </c>
    </row>
    <row r="100" customFormat="false" ht="12.8" hidden="false" customHeight="false" outlineLevel="0" collapsed="false">
      <c r="A100" s="6" t="s">
        <v>59</v>
      </c>
      <c r="B100" s="7" t="s">
        <v>222</v>
      </c>
      <c r="C100" s="6" t="s">
        <v>231</v>
      </c>
      <c r="D100" s="7" t="s">
        <v>232</v>
      </c>
      <c r="E100" s="8" t="n">
        <v>3229</v>
      </c>
      <c r="F100" s="8" t="n">
        <v>4168</v>
      </c>
      <c r="G100" s="8" t="n">
        <v>5997</v>
      </c>
      <c r="H100" s="8" t="n">
        <v>6384</v>
      </c>
      <c r="I100" s="8" t="n">
        <v>5113</v>
      </c>
      <c r="J100" s="8" t="n">
        <v>5125</v>
      </c>
      <c r="K100" s="8" t="n">
        <v>4798</v>
      </c>
      <c r="L100" s="8" t="n">
        <v>8942</v>
      </c>
      <c r="M100" s="8" t="n">
        <v>4396</v>
      </c>
      <c r="N100" s="8" t="n">
        <v>7158</v>
      </c>
      <c r="O100" s="8" t="n">
        <f aca="false">E100+G100+I100+K100+M100</f>
        <v>23533</v>
      </c>
      <c r="P100" s="8" t="n">
        <f aca="false">F100+H100+J100+L100+N100</f>
        <v>31777</v>
      </c>
      <c r="Q100" s="8" t="n">
        <f aca="false">SUM(O100:P100)</f>
        <v>55310</v>
      </c>
      <c r="R100" s="9" t="n">
        <f aca="false">(O100/Q100)*100</f>
        <v>42.5474597721931</v>
      </c>
      <c r="S100" s="9" t="n">
        <f aca="false">(P100/Q100)*100</f>
        <v>57.4525402278069</v>
      </c>
    </row>
    <row r="101" customFormat="false" ht="12.8" hidden="false" customHeight="false" outlineLevel="0" collapsed="false">
      <c r="A101" s="6" t="s">
        <v>59</v>
      </c>
      <c r="B101" s="7" t="s">
        <v>222</v>
      </c>
      <c r="C101" s="6" t="s">
        <v>233</v>
      </c>
      <c r="D101" s="7" t="s">
        <v>234</v>
      </c>
      <c r="E101" s="8" t="n">
        <v>6975</v>
      </c>
      <c r="F101" s="8" t="n">
        <v>7175</v>
      </c>
      <c r="G101" s="8" t="n">
        <v>13092</v>
      </c>
      <c r="H101" s="8" t="n">
        <v>12663</v>
      </c>
      <c r="I101" s="8" t="n">
        <v>8539</v>
      </c>
      <c r="J101" s="8" t="n">
        <v>8486</v>
      </c>
      <c r="K101" s="8" t="n">
        <v>6122</v>
      </c>
      <c r="L101" s="8" t="n">
        <v>7064</v>
      </c>
      <c r="M101" s="8" t="n">
        <v>6191</v>
      </c>
      <c r="N101" s="8" t="n">
        <v>6553</v>
      </c>
      <c r="O101" s="8" t="n">
        <f aca="false">E101+G101+I101+K101+M101</f>
        <v>40919</v>
      </c>
      <c r="P101" s="8" t="n">
        <f aca="false">F101+H101+J101+L101+N101</f>
        <v>41941</v>
      </c>
      <c r="Q101" s="8" t="n">
        <f aca="false">SUM(O101:P101)</f>
        <v>82860</v>
      </c>
      <c r="R101" s="9" t="n">
        <f aca="false">(O101/Q101)*100</f>
        <v>49.3832971276852</v>
      </c>
      <c r="S101" s="9" t="n">
        <f aca="false">(P101/Q101)*100</f>
        <v>50.6167028723147</v>
      </c>
    </row>
    <row r="102" customFormat="false" ht="12.8" hidden="false" customHeight="false" outlineLevel="0" collapsed="false">
      <c r="A102" s="6" t="s">
        <v>61</v>
      </c>
      <c r="B102" s="7" t="s">
        <v>235</v>
      </c>
      <c r="C102" s="6" t="s">
        <v>236</v>
      </c>
      <c r="D102" s="7" t="s">
        <v>237</v>
      </c>
      <c r="E102" s="8" t="n">
        <v>7971</v>
      </c>
      <c r="F102" s="8" t="n">
        <v>9029</v>
      </c>
      <c r="G102" s="8" t="n">
        <v>19182</v>
      </c>
      <c r="H102" s="8" t="n">
        <v>19335</v>
      </c>
      <c r="I102" s="8" t="n">
        <v>14359</v>
      </c>
      <c r="J102" s="8" t="n">
        <v>14665</v>
      </c>
      <c r="K102" s="8" t="n">
        <v>8353</v>
      </c>
      <c r="L102" s="8" t="n">
        <v>10800</v>
      </c>
      <c r="M102" s="8" t="n">
        <v>9230</v>
      </c>
      <c r="N102" s="8" t="n">
        <v>9456</v>
      </c>
      <c r="O102" s="8" t="n">
        <f aca="false">E102+G102+I102+K102+M102</f>
        <v>59095</v>
      </c>
      <c r="P102" s="8" t="n">
        <f aca="false">F102+H102+J102+L102+N102</f>
        <v>63285</v>
      </c>
      <c r="Q102" s="8" t="n">
        <f aca="false">SUM(O102:P102)</f>
        <v>122380</v>
      </c>
      <c r="R102" s="9" t="n">
        <f aca="false">(O102/Q102)*100</f>
        <v>48.2881189736885</v>
      </c>
      <c r="S102" s="9" t="n">
        <f aca="false">(P102/Q102)*100</f>
        <v>51.7118810263115</v>
      </c>
    </row>
    <row r="103" customFormat="false" ht="12.8" hidden="false" customHeight="false" outlineLevel="0" collapsed="false">
      <c r="A103" s="6" t="s">
        <v>61</v>
      </c>
      <c r="B103" s="7" t="s">
        <v>235</v>
      </c>
      <c r="C103" s="6" t="s">
        <v>238</v>
      </c>
      <c r="D103" s="7" t="s">
        <v>239</v>
      </c>
      <c r="E103" s="8" t="n">
        <v>4666</v>
      </c>
      <c r="F103" s="8" t="n">
        <v>5412</v>
      </c>
      <c r="G103" s="8" t="n">
        <v>11133</v>
      </c>
      <c r="H103" s="8" t="n">
        <v>11502</v>
      </c>
      <c r="I103" s="8" t="n">
        <v>9569</v>
      </c>
      <c r="J103" s="8" t="n">
        <v>10133</v>
      </c>
      <c r="K103" s="8" t="n">
        <v>7189</v>
      </c>
      <c r="L103" s="8" t="n">
        <v>9861</v>
      </c>
      <c r="M103" s="8" t="n">
        <v>7471</v>
      </c>
      <c r="N103" s="8" t="n">
        <v>8416</v>
      </c>
      <c r="O103" s="8" t="n">
        <f aca="false">E103+G103+I103+K103+M103</f>
        <v>40028</v>
      </c>
      <c r="P103" s="8" t="n">
        <f aca="false">F103+H103+J103+L103+N103</f>
        <v>45324</v>
      </c>
      <c r="Q103" s="8" t="n">
        <f aca="false">SUM(O103:P103)</f>
        <v>85352</v>
      </c>
      <c r="R103" s="9" t="n">
        <f aca="false">(O103/Q103)*100</f>
        <v>46.8975536601368</v>
      </c>
      <c r="S103" s="9" t="n">
        <f aca="false">(P103/Q103)*100</f>
        <v>53.1024463398632</v>
      </c>
    </row>
    <row r="104" customFormat="false" ht="12.8" hidden="false" customHeight="false" outlineLevel="0" collapsed="false">
      <c r="A104" s="6" t="s">
        <v>61</v>
      </c>
      <c r="B104" s="7" t="s">
        <v>235</v>
      </c>
      <c r="C104" s="6" t="s">
        <v>240</v>
      </c>
      <c r="D104" s="7" t="s">
        <v>241</v>
      </c>
      <c r="E104" s="8" t="n">
        <v>3925</v>
      </c>
      <c r="F104" s="8" t="n">
        <v>4717</v>
      </c>
      <c r="G104" s="8" t="n">
        <v>8911</v>
      </c>
      <c r="H104" s="8" t="n">
        <v>8918</v>
      </c>
      <c r="I104" s="8" t="n">
        <v>7182</v>
      </c>
      <c r="J104" s="8" t="n">
        <v>7182</v>
      </c>
      <c r="K104" s="8" t="n">
        <v>5376</v>
      </c>
      <c r="L104" s="8" t="n">
        <v>7848</v>
      </c>
      <c r="M104" s="8" t="n">
        <v>5452</v>
      </c>
      <c r="N104" s="8" t="n">
        <v>6572</v>
      </c>
      <c r="O104" s="8" t="n">
        <f aca="false">E104+G104+I104+K104+M104</f>
        <v>30846</v>
      </c>
      <c r="P104" s="8" t="n">
        <f aca="false">F104+H104+J104+L104+N104</f>
        <v>35237</v>
      </c>
      <c r="Q104" s="8" t="n">
        <f aca="false">SUM(O104:P104)</f>
        <v>66083</v>
      </c>
      <c r="R104" s="9" t="n">
        <f aca="false">(O104/Q104)*100</f>
        <v>46.6776629390312</v>
      </c>
      <c r="S104" s="9" t="n">
        <f aca="false">(P104/Q104)*100</f>
        <v>53.3223370609688</v>
      </c>
    </row>
    <row r="105" customFormat="false" ht="12.8" hidden="false" customHeight="false" outlineLevel="0" collapsed="false">
      <c r="A105" s="6" t="s">
        <v>61</v>
      </c>
      <c r="B105" s="7" t="s">
        <v>235</v>
      </c>
      <c r="C105" s="6" t="s">
        <v>242</v>
      </c>
      <c r="D105" s="7" t="s">
        <v>243</v>
      </c>
      <c r="E105" s="8" t="n">
        <v>4630</v>
      </c>
      <c r="F105" s="8" t="n">
        <v>5373</v>
      </c>
      <c r="G105" s="8" t="n">
        <v>10481</v>
      </c>
      <c r="H105" s="8" t="n">
        <v>10799</v>
      </c>
      <c r="I105" s="8" t="n">
        <v>8543</v>
      </c>
      <c r="J105" s="8" t="n">
        <v>8687</v>
      </c>
      <c r="K105" s="8" t="n">
        <v>6012</v>
      </c>
      <c r="L105" s="8" t="n">
        <v>8200</v>
      </c>
      <c r="M105" s="8" t="n">
        <v>6141</v>
      </c>
      <c r="N105" s="8" t="n">
        <v>7155</v>
      </c>
      <c r="O105" s="8" t="n">
        <f aca="false">E105+G105+I105+K105+M105</f>
        <v>35807</v>
      </c>
      <c r="P105" s="8" t="n">
        <f aca="false">F105+H105+J105+L105+N105</f>
        <v>40214</v>
      </c>
      <c r="Q105" s="8" t="n">
        <f aca="false">SUM(O105:P105)</f>
        <v>76021</v>
      </c>
      <c r="R105" s="9" t="n">
        <f aca="false">(O105/Q105)*100</f>
        <v>47.1014588074348</v>
      </c>
      <c r="S105" s="9" t="n">
        <f aca="false">(P105/Q105)*100</f>
        <v>52.8985411925652</v>
      </c>
    </row>
    <row r="106" customFormat="false" ht="12.8" hidden="false" customHeight="false" outlineLevel="0" collapsed="false">
      <c r="A106" s="6" t="s">
        <v>64</v>
      </c>
      <c r="B106" s="7" t="s">
        <v>244</v>
      </c>
      <c r="C106" s="6" t="s">
        <v>245</v>
      </c>
      <c r="D106" s="7" t="s">
        <v>246</v>
      </c>
      <c r="E106" s="8" t="n">
        <v>2919</v>
      </c>
      <c r="F106" s="8" t="n">
        <v>3621</v>
      </c>
      <c r="G106" s="8" t="n">
        <v>5711</v>
      </c>
      <c r="H106" s="8" t="n">
        <v>5730</v>
      </c>
      <c r="I106" s="8" t="n">
        <v>4965</v>
      </c>
      <c r="J106" s="8" t="n">
        <v>4736</v>
      </c>
      <c r="K106" s="8" t="n">
        <v>4039</v>
      </c>
      <c r="L106" s="8" t="n">
        <v>7471</v>
      </c>
      <c r="M106" s="8" t="n">
        <v>3627</v>
      </c>
      <c r="N106" s="8" t="n">
        <v>5911</v>
      </c>
      <c r="O106" s="8" t="n">
        <f aca="false">E106+G106+I106+K106+M106</f>
        <v>21261</v>
      </c>
      <c r="P106" s="8" t="n">
        <f aca="false">F106+H106+J106+L106+N106</f>
        <v>27469</v>
      </c>
      <c r="Q106" s="8" t="n">
        <f aca="false">SUM(O106:P106)</f>
        <v>48730</v>
      </c>
      <c r="R106" s="9" t="n">
        <f aca="false">(O106/Q106)*100</f>
        <v>43.6302072645188</v>
      </c>
      <c r="S106" s="9" t="n">
        <f aca="false">(P106/Q106)*100</f>
        <v>56.3697927354812</v>
      </c>
    </row>
    <row r="107" customFormat="false" ht="12.8" hidden="false" customHeight="false" outlineLevel="0" collapsed="false">
      <c r="A107" s="6" t="s">
        <v>64</v>
      </c>
      <c r="B107" s="7" t="s">
        <v>244</v>
      </c>
      <c r="C107" s="6" t="s">
        <v>247</v>
      </c>
      <c r="D107" s="7" t="s">
        <v>248</v>
      </c>
      <c r="E107" s="8" t="n">
        <v>3384</v>
      </c>
      <c r="F107" s="8" t="n">
        <v>4143</v>
      </c>
      <c r="G107" s="8" t="n">
        <v>6247</v>
      </c>
      <c r="H107" s="8" t="n">
        <v>6494</v>
      </c>
      <c r="I107" s="8" t="n">
        <v>5236</v>
      </c>
      <c r="J107" s="8" t="n">
        <v>5208</v>
      </c>
      <c r="K107" s="8" t="n">
        <v>4609</v>
      </c>
      <c r="L107" s="8" t="n">
        <v>8843</v>
      </c>
      <c r="M107" s="8" t="n">
        <v>4076</v>
      </c>
      <c r="N107" s="8" t="n">
        <v>6700</v>
      </c>
      <c r="O107" s="8" t="n">
        <f aca="false">E107+G107+I107+K107+M107</f>
        <v>23552</v>
      </c>
      <c r="P107" s="8" t="n">
        <f aca="false">F107+H107+J107+L107+N107</f>
        <v>31388</v>
      </c>
      <c r="Q107" s="8" t="n">
        <f aca="false">SUM(O107:P107)</f>
        <v>54940</v>
      </c>
      <c r="R107" s="9" t="n">
        <f aca="false">(O107/Q107)*100</f>
        <v>42.8685839097197</v>
      </c>
      <c r="S107" s="9" t="n">
        <f aca="false">(P107/Q107)*100</f>
        <v>57.1314160902803</v>
      </c>
    </row>
    <row r="108" customFormat="false" ht="12.8" hidden="false" customHeight="false" outlineLevel="0" collapsed="false">
      <c r="A108" s="6" t="s">
        <v>64</v>
      </c>
      <c r="B108" s="7" t="s">
        <v>244</v>
      </c>
      <c r="C108" s="6" t="s">
        <v>249</v>
      </c>
      <c r="D108" s="7" t="s">
        <v>250</v>
      </c>
      <c r="E108" s="8" t="n">
        <v>7677</v>
      </c>
      <c r="F108" s="8" t="n">
        <v>9115</v>
      </c>
      <c r="G108" s="8" t="n">
        <v>14035</v>
      </c>
      <c r="H108" s="8" t="n">
        <v>14387</v>
      </c>
      <c r="I108" s="8" t="n">
        <v>11181</v>
      </c>
      <c r="J108" s="8" t="n">
        <v>11181</v>
      </c>
      <c r="K108" s="8" t="n">
        <v>8759</v>
      </c>
      <c r="L108" s="8" t="n">
        <v>16468</v>
      </c>
      <c r="M108" s="8" t="n">
        <v>8323</v>
      </c>
      <c r="N108" s="8" t="n">
        <v>13134</v>
      </c>
      <c r="O108" s="8" t="n">
        <f aca="false">E108+G108+I108+K108+M108</f>
        <v>49975</v>
      </c>
      <c r="P108" s="8" t="n">
        <f aca="false">F108+H108+J108+L108+N108</f>
        <v>64285</v>
      </c>
      <c r="Q108" s="8" t="n">
        <f aca="false">SUM(O108:P108)</f>
        <v>114260</v>
      </c>
      <c r="R108" s="9" t="n">
        <f aca="false">(O108/Q108)*100</f>
        <v>43.7379660423595</v>
      </c>
      <c r="S108" s="9" t="n">
        <f aca="false">(P108/Q108)*100</f>
        <v>56.2620339576405</v>
      </c>
    </row>
    <row r="109" customFormat="false" ht="12.8" hidden="false" customHeight="false" outlineLevel="0" collapsed="false">
      <c r="A109" s="6" t="s">
        <v>64</v>
      </c>
      <c r="B109" s="7" t="s">
        <v>244</v>
      </c>
      <c r="C109" s="6" t="s">
        <v>251</v>
      </c>
      <c r="D109" s="7" t="s">
        <v>252</v>
      </c>
      <c r="E109" s="8" t="n">
        <v>5042</v>
      </c>
      <c r="F109" s="8" t="n">
        <v>6546</v>
      </c>
      <c r="G109" s="8" t="n">
        <v>9672</v>
      </c>
      <c r="H109" s="8" t="n">
        <v>10395</v>
      </c>
      <c r="I109" s="8" t="n">
        <v>7893</v>
      </c>
      <c r="J109" s="8" t="n">
        <v>7930</v>
      </c>
      <c r="K109" s="8" t="n">
        <v>5927</v>
      </c>
      <c r="L109" s="8" t="n">
        <v>10569</v>
      </c>
      <c r="M109" s="8" t="n">
        <v>5617</v>
      </c>
      <c r="N109" s="8" t="n">
        <v>8890</v>
      </c>
      <c r="O109" s="8" t="n">
        <f aca="false">E109+G109+I109+K109+M109</f>
        <v>34151</v>
      </c>
      <c r="P109" s="8" t="n">
        <f aca="false">F109+H109+J109+L109+N109</f>
        <v>44330</v>
      </c>
      <c r="Q109" s="8" t="n">
        <f aca="false">SUM(O109:P109)</f>
        <v>78481</v>
      </c>
      <c r="R109" s="9" t="n">
        <f aca="false">(O109/Q109)*100</f>
        <v>43.5149908895147</v>
      </c>
      <c r="S109" s="9" t="n">
        <f aca="false">(P109/Q109)*100</f>
        <v>56.4850091104854</v>
      </c>
    </row>
    <row r="110" customFormat="false" ht="12.8" hidden="false" customHeight="false" outlineLevel="0" collapsed="false">
      <c r="A110" s="6" t="s">
        <v>64</v>
      </c>
      <c r="B110" s="7" t="s">
        <v>244</v>
      </c>
      <c r="C110" s="6" t="s">
        <v>253</v>
      </c>
      <c r="D110" s="7" t="s">
        <v>254</v>
      </c>
      <c r="E110" s="8" t="n">
        <v>7036</v>
      </c>
      <c r="F110" s="8" t="n">
        <v>8531</v>
      </c>
      <c r="G110" s="8" t="n">
        <v>12765</v>
      </c>
      <c r="H110" s="8" t="n">
        <v>13054</v>
      </c>
      <c r="I110" s="8" t="n">
        <v>10157</v>
      </c>
      <c r="J110" s="8" t="n">
        <v>9569</v>
      </c>
      <c r="K110" s="8" t="n">
        <v>6823</v>
      </c>
      <c r="L110" s="8" t="n">
        <v>11586</v>
      </c>
      <c r="M110" s="8" t="n">
        <v>6782</v>
      </c>
      <c r="N110" s="8" t="n">
        <v>9775</v>
      </c>
      <c r="O110" s="8" t="n">
        <f aca="false">E110+G110+I110+K110+M110</f>
        <v>43563</v>
      </c>
      <c r="P110" s="8" t="n">
        <f aca="false">F110+H110+J110+L110+N110</f>
        <v>52515</v>
      </c>
      <c r="Q110" s="8" t="n">
        <f aca="false">SUM(O110:P110)</f>
        <v>96078</v>
      </c>
      <c r="R110" s="9" t="n">
        <f aca="false">(O110/Q110)*100</f>
        <v>45.3412852057703</v>
      </c>
      <c r="S110" s="9" t="n">
        <f aca="false">(P110/Q110)*100</f>
        <v>54.6587147942297</v>
      </c>
    </row>
    <row r="111" customFormat="false" ht="12.8" hidden="false" customHeight="false" outlineLevel="0" collapsed="false">
      <c r="A111" s="6" t="s">
        <v>64</v>
      </c>
      <c r="B111" s="7" t="s">
        <v>244</v>
      </c>
      <c r="C111" s="6" t="s">
        <v>255</v>
      </c>
      <c r="D111" s="7" t="s">
        <v>256</v>
      </c>
      <c r="E111" s="8" t="n">
        <v>6495</v>
      </c>
      <c r="F111" s="8" t="n">
        <v>8100</v>
      </c>
      <c r="G111" s="8" t="n">
        <v>12052</v>
      </c>
      <c r="H111" s="8" t="n">
        <v>13005</v>
      </c>
      <c r="I111" s="8" t="n">
        <v>9503</v>
      </c>
      <c r="J111" s="8" t="n">
        <v>9990</v>
      </c>
      <c r="K111" s="8" t="n">
        <v>7046</v>
      </c>
      <c r="L111" s="8" t="n">
        <v>13990</v>
      </c>
      <c r="M111" s="8" t="n">
        <v>6847</v>
      </c>
      <c r="N111" s="8" t="n">
        <v>11605</v>
      </c>
      <c r="O111" s="8" t="n">
        <f aca="false">E111+G111+I111+K111+M111</f>
        <v>41943</v>
      </c>
      <c r="P111" s="8" t="n">
        <f aca="false">F111+H111+J111+L111+N111</f>
        <v>56690</v>
      </c>
      <c r="Q111" s="8" t="n">
        <f aca="false">SUM(O111:P111)</f>
        <v>98633</v>
      </c>
      <c r="R111" s="9" t="n">
        <f aca="false">(O111/Q111)*100</f>
        <v>42.5243072805248</v>
      </c>
      <c r="S111" s="9" t="n">
        <f aca="false">(P111/Q111)*100</f>
        <v>57.4756927194752</v>
      </c>
    </row>
    <row r="112" customFormat="false" ht="12.8" hidden="false" customHeight="false" outlineLevel="0" collapsed="false">
      <c r="A112" s="6" t="s">
        <v>64</v>
      </c>
      <c r="B112" s="7" t="s">
        <v>244</v>
      </c>
      <c r="C112" s="6" t="s">
        <v>257</v>
      </c>
      <c r="D112" s="7" t="s">
        <v>258</v>
      </c>
      <c r="E112" s="8" t="n">
        <v>6714</v>
      </c>
      <c r="F112" s="8" t="n">
        <v>8285</v>
      </c>
      <c r="G112" s="8" t="n">
        <v>12574</v>
      </c>
      <c r="H112" s="8" t="n">
        <v>12981</v>
      </c>
      <c r="I112" s="8" t="n">
        <v>9996</v>
      </c>
      <c r="J112" s="8" t="n">
        <v>10329</v>
      </c>
      <c r="K112" s="8" t="n">
        <v>6801</v>
      </c>
      <c r="L112" s="8" t="n">
        <v>11667</v>
      </c>
      <c r="M112" s="8" t="n">
        <v>6771</v>
      </c>
      <c r="N112" s="8" t="n">
        <v>9886</v>
      </c>
      <c r="O112" s="8" t="n">
        <f aca="false">E112+G112+I112+K112+M112</f>
        <v>42856</v>
      </c>
      <c r="P112" s="8" t="n">
        <f aca="false">F112+H112+J112+L112+N112</f>
        <v>53148</v>
      </c>
      <c r="Q112" s="8" t="n">
        <f aca="false">SUM(O112:P112)</f>
        <v>96004</v>
      </c>
      <c r="R112" s="9" t="n">
        <f aca="false">(O112/Q112)*100</f>
        <v>44.6398066747219</v>
      </c>
      <c r="S112" s="9" t="n">
        <f aca="false">(P112/Q112)*100</f>
        <v>55.3601933252781</v>
      </c>
    </row>
    <row r="113" customFormat="false" ht="12.8" hidden="false" customHeight="false" outlineLevel="0" collapsed="false">
      <c r="A113" s="6" t="s">
        <v>66</v>
      </c>
      <c r="B113" s="7" t="s">
        <v>259</v>
      </c>
      <c r="C113" s="6" t="s">
        <v>260</v>
      </c>
      <c r="D113" s="7" t="s">
        <v>261</v>
      </c>
      <c r="E113" s="8" t="n">
        <v>5734</v>
      </c>
      <c r="F113" s="8" t="n">
        <v>6863</v>
      </c>
      <c r="G113" s="8" t="n">
        <v>9690</v>
      </c>
      <c r="H113" s="8" t="n">
        <v>9861</v>
      </c>
      <c r="I113" s="8" t="n">
        <v>7823</v>
      </c>
      <c r="J113" s="8" t="n">
        <v>7811</v>
      </c>
      <c r="K113" s="8" t="n">
        <v>5462</v>
      </c>
      <c r="L113" s="8" t="n">
        <v>9531</v>
      </c>
      <c r="M113" s="8" t="n">
        <v>5264</v>
      </c>
      <c r="N113" s="8" t="n">
        <v>7819</v>
      </c>
      <c r="O113" s="8" t="n">
        <f aca="false">E113+G113+I113+K113+M113</f>
        <v>33973</v>
      </c>
      <c r="P113" s="8" t="n">
        <f aca="false">F113+H113+J113+L113+N113</f>
        <v>41885</v>
      </c>
      <c r="Q113" s="8" t="n">
        <f aca="false">SUM(O113:P113)</f>
        <v>75858</v>
      </c>
      <c r="R113" s="9" t="n">
        <f aca="false">(O113/Q113)*100</f>
        <v>44.7849930132616</v>
      </c>
      <c r="S113" s="9" t="n">
        <f aca="false">(P113/Q113)*100</f>
        <v>55.2150069867384</v>
      </c>
    </row>
    <row r="114" customFormat="false" ht="12.8" hidden="false" customHeight="false" outlineLevel="0" collapsed="false">
      <c r="A114" s="6" t="s">
        <v>66</v>
      </c>
      <c r="B114" s="7" t="s">
        <v>259</v>
      </c>
      <c r="C114" s="6" t="s">
        <v>262</v>
      </c>
      <c r="D114" s="7" t="s">
        <v>263</v>
      </c>
      <c r="E114" s="8" t="n">
        <v>5152</v>
      </c>
      <c r="F114" s="8" t="n">
        <v>6003</v>
      </c>
      <c r="G114" s="8" t="n">
        <v>8706</v>
      </c>
      <c r="H114" s="8" t="n">
        <v>9284</v>
      </c>
      <c r="I114" s="8" t="n">
        <v>6965</v>
      </c>
      <c r="J114" s="8" t="n">
        <v>7035</v>
      </c>
      <c r="K114" s="8" t="n">
        <v>4734</v>
      </c>
      <c r="L114" s="8" t="n">
        <v>8130</v>
      </c>
      <c r="M114" s="8" t="n">
        <v>4775</v>
      </c>
      <c r="N114" s="8" t="n">
        <v>6814</v>
      </c>
      <c r="O114" s="8" t="n">
        <f aca="false">E114+G114+I114+K114+M114</f>
        <v>30332</v>
      </c>
      <c r="P114" s="8" t="n">
        <f aca="false">F114+H114+J114+L114+N114</f>
        <v>37266</v>
      </c>
      <c r="Q114" s="8" t="n">
        <f aca="false">SUM(O114:P114)</f>
        <v>67598</v>
      </c>
      <c r="R114" s="9" t="n">
        <f aca="false">(O114/Q114)*100</f>
        <v>44.8711500340247</v>
      </c>
      <c r="S114" s="9" t="n">
        <f aca="false">(P114/Q114)*100</f>
        <v>55.1288499659753</v>
      </c>
    </row>
    <row r="115" customFormat="false" ht="12.8" hidden="false" customHeight="false" outlineLevel="0" collapsed="false">
      <c r="A115" s="6" t="s">
        <v>66</v>
      </c>
      <c r="B115" s="7" t="s">
        <v>259</v>
      </c>
      <c r="C115" s="6" t="s">
        <v>264</v>
      </c>
      <c r="D115" s="7" t="s">
        <v>265</v>
      </c>
      <c r="E115" s="8" t="n">
        <v>12064</v>
      </c>
      <c r="F115" s="8" t="n">
        <v>11875</v>
      </c>
      <c r="G115" s="8" t="n">
        <v>21704</v>
      </c>
      <c r="H115" s="8" t="n">
        <v>20338</v>
      </c>
      <c r="I115" s="8" t="n">
        <v>12909</v>
      </c>
      <c r="J115" s="8" t="n">
        <v>12945</v>
      </c>
      <c r="K115" s="8" t="n">
        <v>6643</v>
      </c>
      <c r="L115" s="8" t="n">
        <v>4698</v>
      </c>
      <c r="M115" s="8" t="n">
        <v>7159</v>
      </c>
      <c r="N115" s="8" t="n">
        <v>4426</v>
      </c>
      <c r="O115" s="8" t="n">
        <f aca="false">E115+G115+I115+K115+M115</f>
        <v>60479</v>
      </c>
      <c r="P115" s="8" t="n">
        <f aca="false">F115+H115+J115+L115+N115</f>
        <v>54282</v>
      </c>
      <c r="Q115" s="8" t="n">
        <f aca="false">SUM(O115:P115)</f>
        <v>114761</v>
      </c>
      <c r="R115" s="9" t="n">
        <f aca="false">(O115/Q115)*100</f>
        <v>52.6999590453203</v>
      </c>
      <c r="S115" s="9" t="n">
        <f aca="false">(P115/Q115)*100</f>
        <v>47.3000409546797</v>
      </c>
    </row>
    <row r="116" customFormat="false" ht="12.8" hidden="false" customHeight="false" outlineLevel="0" collapsed="false">
      <c r="A116" s="6" t="s">
        <v>66</v>
      </c>
      <c r="B116" s="7" t="s">
        <v>259</v>
      </c>
      <c r="C116" s="6" t="s">
        <v>266</v>
      </c>
      <c r="D116" s="7" t="s">
        <v>267</v>
      </c>
      <c r="E116" s="8" t="n">
        <v>14598</v>
      </c>
      <c r="F116" s="8" t="n">
        <v>14329</v>
      </c>
      <c r="G116" s="8" t="n">
        <v>28046</v>
      </c>
      <c r="H116" s="8" t="n">
        <v>28752</v>
      </c>
      <c r="I116" s="8" t="n">
        <v>14956</v>
      </c>
      <c r="J116" s="8" t="n">
        <v>17075</v>
      </c>
      <c r="K116" s="8" t="n">
        <v>7878</v>
      </c>
      <c r="L116" s="8" t="n">
        <v>5975</v>
      </c>
      <c r="M116" s="8" t="n">
        <v>9124</v>
      </c>
      <c r="N116" s="8" t="n">
        <v>6590</v>
      </c>
      <c r="O116" s="8" t="n">
        <f aca="false">E116+G116+I116+K116+M116</f>
        <v>74602</v>
      </c>
      <c r="P116" s="8" t="n">
        <f aca="false">F116+H116+J116+L116+N116</f>
        <v>72721</v>
      </c>
      <c r="Q116" s="8" t="n">
        <f aca="false">SUM(O116:P116)</f>
        <v>147323</v>
      </c>
      <c r="R116" s="9" t="n">
        <f aca="false">(O116/Q116)*100</f>
        <v>50.6383931904726</v>
      </c>
      <c r="S116" s="9" t="n">
        <f aca="false">(P116/Q116)*100</f>
        <v>49.3616068095274</v>
      </c>
    </row>
    <row r="117" customFormat="false" ht="12.8" hidden="false" customHeight="false" outlineLevel="0" collapsed="false">
      <c r="A117" s="6" t="s">
        <v>66</v>
      </c>
      <c r="B117" s="7" t="s">
        <v>259</v>
      </c>
      <c r="C117" s="6" t="s">
        <v>268</v>
      </c>
      <c r="D117" s="7" t="s">
        <v>269</v>
      </c>
      <c r="E117" s="8" t="n">
        <v>17669</v>
      </c>
      <c r="F117" s="8" t="n">
        <v>15038</v>
      </c>
      <c r="G117" s="8" t="n">
        <v>34464</v>
      </c>
      <c r="H117" s="8" t="n">
        <v>31076</v>
      </c>
      <c r="I117" s="8" t="n">
        <v>17023</v>
      </c>
      <c r="J117" s="8" t="n">
        <v>17497</v>
      </c>
      <c r="K117" s="8" t="n">
        <v>7725</v>
      </c>
      <c r="L117" s="8" t="n">
        <v>4870</v>
      </c>
      <c r="M117" s="8" t="n">
        <v>8833</v>
      </c>
      <c r="N117" s="8" t="n">
        <v>5142</v>
      </c>
      <c r="O117" s="8" t="n">
        <f aca="false">E117+G117+I117+K117+M117</f>
        <v>85714</v>
      </c>
      <c r="P117" s="8" t="n">
        <f aca="false">F117+H117+J117+L117+N117</f>
        <v>73623</v>
      </c>
      <c r="Q117" s="8" t="n">
        <f aca="false">SUM(O117:P117)</f>
        <v>159337</v>
      </c>
      <c r="R117" s="9" t="n">
        <f aca="false">(O117/Q117)*100</f>
        <v>53.7941595486296</v>
      </c>
      <c r="S117" s="9" t="n">
        <f aca="false">(P117/Q117)*100</f>
        <v>46.2058404513704</v>
      </c>
    </row>
    <row r="118" customFormat="false" ht="12.8" hidden="false" customHeight="false" outlineLevel="0" collapsed="false">
      <c r="A118" s="6" t="s">
        <v>66</v>
      </c>
      <c r="B118" s="7" t="s">
        <v>259</v>
      </c>
      <c r="C118" s="6" t="s">
        <v>270</v>
      </c>
      <c r="D118" s="7" t="s">
        <v>271</v>
      </c>
      <c r="E118" s="8" t="n">
        <v>7434</v>
      </c>
      <c r="F118" s="8" t="n">
        <v>8442</v>
      </c>
      <c r="G118" s="8" t="n">
        <v>13574</v>
      </c>
      <c r="H118" s="8" t="n">
        <v>13859</v>
      </c>
      <c r="I118" s="8" t="n">
        <v>10540</v>
      </c>
      <c r="J118" s="8" t="n">
        <v>10711</v>
      </c>
      <c r="K118" s="8" t="n">
        <v>7081</v>
      </c>
      <c r="L118" s="8" t="n">
        <v>11054</v>
      </c>
      <c r="M118" s="8" t="n">
        <v>7221</v>
      </c>
      <c r="N118" s="8" t="n">
        <v>9468</v>
      </c>
      <c r="O118" s="8" t="n">
        <f aca="false">E118+G118+I118+K118+M118</f>
        <v>45850</v>
      </c>
      <c r="P118" s="8" t="n">
        <f aca="false">F118+H118+J118+L118+N118</f>
        <v>53534</v>
      </c>
      <c r="Q118" s="8" t="n">
        <f aca="false">SUM(O118:P118)</f>
        <v>99384</v>
      </c>
      <c r="R118" s="9" t="n">
        <f aca="false">(O118/Q118)*100</f>
        <v>46.1341865893906</v>
      </c>
      <c r="S118" s="9" t="n">
        <f aca="false">(P118/Q118)*100</f>
        <v>53.8658134106094</v>
      </c>
    </row>
    <row r="119" customFormat="false" ht="12.8" hidden="false" customHeight="false" outlineLevel="0" collapsed="false">
      <c r="A119" s="6" t="s">
        <v>66</v>
      </c>
      <c r="B119" s="7" t="s">
        <v>259</v>
      </c>
      <c r="C119" s="6" t="s">
        <v>272</v>
      </c>
      <c r="D119" s="7" t="s">
        <v>259</v>
      </c>
      <c r="E119" s="8" t="n">
        <v>7623</v>
      </c>
      <c r="F119" s="8" t="n">
        <v>7153</v>
      </c>
      <c r="G119" s="8" t="n">
        <v>14548</v>
      </c>
      <c r="H119" s="8" t="n">
        <v>13504</v>
      </c>
      <c r="I119" s="8" t="n">
        <v>8782</v>
      </c>
      <c r="J119" s="8" t="n">
        <v>8824</v>
      </c>
      <c r="K119" s="8" t="n">
        <v>5033</v>
      </c>
      <c r="L119" s="8" t="n">
        <v>5330</v>
      </c>
      <c r="M119" s="8" t="n">
        <v>5144</v>
      </c>
      <c r="N119" s="8" t="n">
        <v>4789</v>
      </c>
      <c r="O119" s="8" t="n">
        <f aca="false">E119+G119+I119+K119+M119</f>
        <v>41130</v>
      </c>
      <c r="P119" s="8" t="n">
        <f aca="false">F119+H119+J119+L119+N119</f>
        <v>39600</v>
      </c>
      <c r="Q119" s="8" t="n">
        <f aca="false">SUM(O119:P119)</f>
        <v>80730</v>
      </c>
      <c r="R119" s="9" t="n">
        <f aca="false">(O119/Q119)*100</f>
        <v>50.9476031215162</v>
      </c>
      <c r="S119" s="9" t="n">
        <f aca="false">(P119/Q119)*100</f>
        <v>49.0523968784838</v>
      </c>
    </row>
    <row r="120" customFormat="false" ht="12.8" hidden="false" customHeight="false" outlineLevel="0" collapsed="false">
      <c r="A120" s="6" t="s">
        <v>66</v>
      </c>
      <c r="B120" s="7" t="s">
        <v>259</v>
      </c>
      <c r="C120" s="6" t="s">
        <v>273</v>
      </c>
      <c r="D120" s="7" t="s">
        <v>274</v>
      </c>
      <c r="E120" s="8" t="n">
        <v>8642</v>
      </c>
      <c r="F120" s="8" t="n">
        <v>8482</v>
      </c>
      <c r="G120" s="8" t="n">
        <v>17761</v>
      </c>
      <c r="H120" s="8" t="n">
        <v>16471</v>
      </c>
      <c r="I120" s="8" t="n">
        <v>10506</v>
      </c>
      <c r="J120" s="8" t="n">
        <v>10319</v>
      </c>
      <c r="K120" s="8" t="n">
        <v>5603</v>
      </c>
      <c r="L120" s="8" t="n">
        <v>6223</v>
      </c>
      <c r="M120" s="8" t="n">
        <v>5942</v>
      </c>
      <c r="N120" s="8" t="n">
        <v>5464</v>
      </c>
      <c r="O120" s="8" t="n">
        <f aca="false">E120+G120+I120+K120+M120</f>
        <v>48454</v>
      </c>
      <c r="P120" s="8" t="n">
        <f aca="false">F120+H120+J120+L120+N120</f>
        <v>46959</v>
      </c>
      <c r="Q120" s="8" t="n">
        <f aca="false">SUM(O120:P120)</f>
        <v>95413</v>
      </c>
      <c r="R120" s="9" t="n">
        <f aca="false">(O120/Q120)*100</f>
        <v>50.7834362193831</v>
      </c>
      <c r="S120" s="9" t="n">
        <f aca="false">(P120/Q120)*100</f>
        <v>49.2165637806169</v>
      </c>
    </row>
    <row r="121" customFormat="false" ht="12.8" hidden="false" customHeight="false" outlineLevel="0" collapsed="false">
      <c r="A121" s="6" t="s">
        <v>66</v>
      </c>
      <c r="B121" s="7" t="s">
        <v>259</v>
      </c>
      <c r="C121" s="6" t="s">
        <v>275</v>
      </c>
      <c r="D121" s="7" t="s">
        <v>276</v>
      </c>
      <c r="E121" s="8" t="n">
        <v>7478</v>
      </c>
      <c r="F121" s="8" t="n">
        <v>7421</v>
      </c>
      <c r="G121" s="8" t="n">
        <v>14780</v>
      </c>
      <c r="H121" s="8" t="n">
        <v>12921</v>
      </c>
      <c r="I121" s="8" t="n">
        <v>9768</v>
      </c>
      <c r="J121" s="8" t="n">
        <v>8892</v>
      </c>
      <c r="K121" s="8" t="n">
        <v>5962</v>
      </c>
      <c r="L121" s="8" t="n">
        <v>6599</v>
      </c>
      <c r="M121" s="8" t="n">
        <v>5718</v>
      </c>
      <c r="N121" s="8" t="n">
        <v>5907</v>
      </c>
      <c r="O121" s="8" t="n">
        <f aca="false">E121+G121+I121+K121+M121</f>
        <v>43706</v>
      </c>
      <c r="P121" s="8" t="n">
        <f aca="false">F121+H121+J121+L121+N121</f>
        <v>41740</v>
      </c>
      <c r="Q121" s="8" t="n">
        <f aca="false">SUM(O121:P121)</f>
        <v>85446</v>
      </c>
      <c r="R121" s="9" t="n">
        <f aca="false">(O121/Q121)*100</f>
        <v>51.1504341923554</v>
      </c>
      <c r="S121" s="9" t="n">
        <f aca="false">(P121/Q121)*100</f>
        <v>48.8495658076446</v>
      </c>
    </row>
    <row r="122" customFormat="false" ht="12.8" hidden="false" customHeight="false" outlineLevel="0" collapsed="false">
      <c r="A122" s="6" t="s">
        <v>66</v>
      </c>
      <c r="B122" s="7" t="s">
        <v>259</v>
      </c>
      <c r="C122" s="6" t="s">
        <v>277</v>
      </c>
      <c r="D122" s="7" t="s">
        <v>278</v>
      </c>
      <c r="E122" s="8" t="n">
        <v>8466</v>
      </c>
      <c r="F122" s="8" t="n">
        <v>8064</v>
      </c>
      <c r="G122" s="8" t="n">
        <v>16655</v>
      </c>
      <c r="H122" s="8" t="n">
        <v>14892</v>
      </c>
      <c r="I122" s="8" t="n">
        <v>9768</v>
      </c>
      <c r="J122" s="8" t="n">
        <v>9520</v>
      </c>
      <c r="K122" s="8" t="n">
        <v>5899</v>
      </c>
      <c r="L122" s="8" t="n">
        <v>6238</v>
      </c>
      <c r="M122" s="8" t="n">
        <v>5868</v>
      </c>
      <c r="N122" s="8" t="n">
        <v>5787</v>
      </c>
      <c r="O122" s="8" t="n">
        <f aca="false">E122+G122+I122+K122+M122</f>
        <v>46656</v>
      </c>
      <c r="P122" s="8" t="n">
        <f aca="false">F122+H122+J122+L122+N122</f>
        <v>44501</v>
      </c>
      <c r="Q122" s="8" t="n">
        <f aca="false">SUM(O122:P122)</f>
        <v>91157</v>
      </c>
      <c r="R122" s="9" t="n">
        <f aca="false">(O122/Q122)*100</f>
        <v>51.1820266134252</v>
      </c>
      <c r="S122" s="9" t="n">
        <f aca="false">(P122/Q122)*100</f>
        <v>48.8179733865748</v>
      </c>
    </row>
    <row r="123" customFormat="false" ht="12.8" hidden="false" customHeight="false" outlineLevel="0" collapsed="false">
      <c r="A123" s="6" t="s">
        <v>66</v>
      </c>
      <c r="B123" s="7" t="s">
        <v>259</v>
      </c>
      <c r="C123" s="6" t="s">
        <v>279</v>
      </c>
      <c r="D123" s="7" t="s">
        <v>280</v>
      </c>
      <c r="E123" s="8" t="n">
        <v>7277</v>
      </c>
      <c r="F123" s="8" t="n">
        <v>8097</v>
      </c>
      <c r="G123" s="8" t="n">
        <v>13594</v>
      </c>
      <c r="H123" s="8" t="n">
        <v>13833</v>
      </c>
      <c r="I123" s="8" t="n">
        <v>9140</v>
      </c>
      <c r="J123" s="8" t="n">
        <v>9856</v>
      </c>
      <c r="K123" s="8" t="n">
        <v>5514</v>
      </c>
      <c r="L123" s="8" t="n">
        <v>7205</v>
      </c>
      <c r="M123" s="8" t="n">
        <v>6184</v>
      </c>
      <c r="N123" s="8" t="n">
        <v>6558</v>
      </c>
      <c r="O123" s="8" t="n">
        <f aca="false">E123+G123+I123+K123+M123</f>
        <v>41709</v>
      </c>
      <c r="P123" s="8" t="n">
        <f aca="false">F123+H123+J123+L123+N123</f>
        <v>45549</v>
      </c>
      <c r="Q123" s="8" t="n">
        <f aca="false">SUM(O123:P123)</f>
        <v>87258</v>
      </c>
      <c r="R123" s="9" t="n">
        <f aca="false">(O123/Q123)*100</f>
        <v>47.799628687341</v>
      </c>
      <c r="S123" s="9" t="n">
        <f aca="false">(P123/Q123)*100</f>
        <v>52.200371312659</v>
      </c>
    </row>
    <row r="124" customFormat="false" ht="12.8" hidden="false" customHeight="false" outlineLevel="0" collapsed="false">
      <c r="A124" s="6" t="s">
        <v>66</v>
      </c>
      <c r="B124" s="7" t="s">
        <v>259</v>
      </c>
      <c r="C124" s="6" t="s">
        <v>281</v>
      </c>
      <c r="D124" s="7" t="s">
        <v>282</v>
      </c>
      <c r="E124" s="8" t="n">
        <v>6259</v>
      </c>
      <c r="F124" s="8" t="n">
        <v>7594</v>
      </c>
      <c r="G124" s="8" t="n">
        <v>10660</v>
      </c>
      <c r="H124" s="8" t="n">
        <v>11042</v>
      </c>
      <c r="I124" s="8" t="n">
        <v>8036</v>
      </c>
      <c r="J124" s="8" t="n">
        <v>7872</v>
      </c>
      <c r="K124" s="8" t="n">
        <v>5362</v>
      </c>
      <c r="L124" s="8" t="n">
        <v>7742</v>
      </c>
      <c r="M124" s="8" t="n">
        <v>5298</v>
      </c>
      <c r="N124" s="8" t="n">
        <v>6790</v>
      </c>
      <c r="O124" s="8" t="n">
        <f aca="false">E124+G124+I124+K124+M124</f>
        <v>35615</v>
      </c>
      <c r="P124" s="8" t="n">
        <f aca="false">F124+H124+J124+L124+N124</f>
        <v>41040</v>
      </c>
      <c r="Q124" s="8" t="n">
        <f aca="false">SUM(O124:P124)</f>
        <v>76655</v>
      </c>
      <c r="R124" s="9" t="n">
        <f aca="false">(O124/Q124)*100</f>
        <v>46.4614180418759</v>
      </c>
      <c r="S124" s="9" t="n">
        <f aca="false">(P124/Q124)*100</f>
        <v>53.5385819581241</v>
      </c>
    </row>
    <row r="125" customFormat="false" ht="12.8" hidden="false" customHeight="false" outlineLevel="0" collapsed="false">
      <c r="A125" s="6" t="s">
        <v>69</v>
      </c>
      <c r="B125" s="7" t="s">
        <v>283</v>
      </c>
      <c r="C125" s="6" t="s">
        <v>284</v>
      </c>
      <c r="D125" s="7" t="s">
        <v>285</v>
      </c>
      <c r="E125" s="8" t="n">
        <v>3144</v>
      </c>
      <c r="F125" s="8" t="n">
        <v>1963</v>
      </c>
      <c r="G125" s="8" t="n">
        <v>6602</v>
      </c>
      <c r="H125" s="8" t="n">
        <v>4127</v>
      </c>
      <c r="I125" s="8" t="n">
        <v>4007</v>
      </c>
      <c r="J125" s="8" t="n">
        <v>2851</v>
      </c>
      <c r="K125" s="8" t="n">
        <v>2540</v>
      </c>
      <c r="L125" s="8" t="n">
        <v>4522</v>
      </c>
      <c r="M125" s="8" t="n">
        <v>1561</v>
      </c>
      <c r="N125" s="8" t="n">
        <v>2691</v>
      </c>
      <c r="O125" s="8" t="n">
        <f aca="false">E125+G125+I125+K125+M125</f>
        <v>17854</v>
      </c>
      <c r="P125" s="8" t="n">
        <f aca="false">F125+H125+J125+L125+N125</f>
        <v>16154</v>
      </c>
      <c r="Q125" s="8" t="n">
        <f aca="false">SUM(O125:P125)</f>
        <v>34008</v>
      </c>
      <c r="R125" s="9" t="n">
        <f aca="false">(O125/Q125)*100</f>
        <v>52.4994119030816</v>
      </c>
      <c r="S125" s="9" t="n">
        <f aca="false">(P125/Q125)*100</f>
        <v>47.5005880969184</v>
      </c>
    </row>
    <row r="126" customFormat="false" ht="12.8" hidden="false" customHeight="false" outlineLevel="0" collapsed="false">
      <c r="A126" s="6" t="s">
        <v>69</v>
      </c>
      <c r="B126" s="7" t="s">
        <v>283</v>
      </c>
      <c r="C126" s="6" t="s">
        <v>286</v>
      </c>
      <c r="D126" s="7" t="s">
        <v>287</v>
      </c>
      <c r="E126" s="8" t="n">
        <v>1672</v>
      </c>
      <c r="F126" s="8" t="n">
        <v>1563</v>
      </c>
      <c r="G126" s="8" t="n">
        <v>5755</v>
      </c>
      <c r="H126" s="8" t="n">
        <v>4133</v>
      </c>
      <c r="I126" s="8" t="n">
        <v>3917</v>
      </c>
      <c r="J126" s="8" t="n">
        <v>3308</v>
      </c>
      <c r="K126" s="8" t="n">
        <v>2474</v>
      </c>
      <c r="L126" s="8" t="n">
        <v>4247</v>
      </c>
      <c r="M126" s="8" t="n">
        <v>1827</v>
      </c>
      <c r="N126" s="8" t="n">
        <v>2520</v>
      </c>
      <c r="O126" s="8" t="n">
        <f aca="false">E126+G126+I126+K126+M126</f>
        <v>15645</v>
      </c>
      <c r="P126" s="8" t="n">
        <f aca="false">F126+H126+J126+L126+N126</f>
        <v>15771</v>
      </c>
      <c r="Q126" s="8" t="n">
        <f aca="false">SUM(O126:P126)</f>
        <v>31416</v>
      </c>
      <c r="R126" s="9" t="n">
        <f aca="false">(O126/Q126)*100</f>
        <v>49.7994652406417</v>
      </c>
      <c r="S126" s="9" t="n">
        <f aca="false">(P126/Q126)*100</f>
        <v>50.2005347593583</v>
      </c>
    </row>
    <row r="127" customFormat="false" ht="12.8" hidden="false" customHeight="false" outlineLevel="0" collapsed="false">
      <c r="A127" s="6" t="s">
        <v>69</v>
      </c>
      <c r="B127" s="7" t="s">
        <v>283</v>
      </c>
      <c r="C127" s="6" t="s">
        <v>288</v>
      </c>
      <c r="D127" s="7" t="s">
        <v>289</v>
      </c>
      <c r="E127" s="8" t="n">
        <v>3175</v>
      </c>
      <c r="F127" s="8" t="n">
        <v>3394</v>
      </c>
      <c r="G127" s="8" t="n">
        <v>8696</v>
      </c>
      <c r="H127" s="8" t="n">
        <v>7633</v>
      </c>
      <c r="I127" s="8" t="n">
        <v>5725</v>
      </c>
      <c r="J127" s="8" t="n">
        <v>4529</v>
      </c>
      <c r="K127" s="8" t="n">
        <v>2797</v>
      </c>
      <c r="L127" s="8" t="n">
        <v>5880</v>
      </c>
      <c r="M127" s="8" t="n">
        <v>2305</v>
      </c>
      <c r="N127" s="8" t="n">
        <v>3732</v>
      </c>
      <c r="O127" s="8" t="n">
        <f aca="false">E127+G127+I127+K127+M127</f>
        <v>22698</v>
      </c>
      <c r="P127" s="8" t="n">
        <f aca="false">F127+H127+J127+L127+N127</f>
        <v>25168</v>
      </c>
      <c r="Q127" s="8" t="n">
        <f aca="false">SUM(O127:P127)</f>
        <v>47866</v>
      </c>
      <c r="R127" s="9" t="n">
        <f aca="false">(O127/Q127)*100</f>
        <v>47.4198804997284</v>
      </c>
      <c r="S127" s="9" t="n">
        <f aca="false">(P127/Q127)*100</f>
        <v>52.5801195002716</v>
      </c>
    </row>
    <row r="128" customFormat="false" ht="12.8" hidden="false" customHeight="false" outlineLevel="0" collapsed="false">
      <c r="A128" s="6" t="s">
        <v>69</v>
      </c>
      <c r="B128" s="7" t="s">
        <v>283</v>
      </c>
      <c r="C128" s="6" t="s">
        <v>290</v>
      </c>
      <c r="D128" s="7" t="s">
        <v>291</v>
      </c>
      <c r="E128" s="8" t="n">
        <v>2374</v>
      </c>
      <c r="F128" s="8" t="n">
        <v>1605</v>
      </c>
      <c r="G128" s="8" t="n">
        <v>5384</v>
      </c>
      <c r="H128" s="8" t="n">
        <v>3434</v>
      </c>
      <c r="I128" s="8" t="n">
        <v>3798</v>
      </c>
      <c r="J128" s="8" t="n">
        <v>2501</v>
      </c>
      <c r="K128" s="8" t="n">
        <v>1956</v>
      </c>
      <c r="L128" s="8" t="n">
        <v>4217</v>
      </c>
      <c r="M128" s="8" t="n">
        <v>1206</v>
      </c>
      <c r="N128" s="8" t="n">
        <v>2628</v>
      </c>
      <c r="O128" s="8" t="n">
        <f aca="false">E128+G128+I128+K128+M128</f>
        <v>14718</v>
      </c>
      <c r="P128" s="8" t="n">
        <f aca="false">F128+H128+J128+L128+N128</f>
        <v>14385</v>
      </c>
      <c r="Q128" s="8" t="n">
        <f aca="false">SUM(O128:P128)</f>
        <v>29103</v>
      </c>
      <c r="R128" s="9" t="n">
        <f aca="false">(O128/Q128)*100</f>
        <v>50.5721059684569</v>
      </c>
      <c r="S128" s="9" t="n">
        <f aca="false">(P128/Q128)*100</f>
        <v>49.4278940315431</v>
      </c>
    </row>
    <row r="129" customFormat="false" ht="12.8" hidden="false" customHeight="false" outlineLevel="0" collapsed="false">
      <c r="A129" s="6" t="s">
        <v>69</v>
      </c>
      <c r="B129" s="7" t="s">
        <v>283</v>
      </c>
      <c r="C129" s="6" t="s">
        <v>292</v>
      </c>
      <c r="D129" s="7" t="s">
        <v>293</v>
      </c>
      <c r="E129" s="8" t="n">
        <v>1966</v>
      </c>
      <c r="F129" s="8" t="n">
        <v>2002</v>
      </c>
      <c r="G129" s="8" t="n">
        <v>6081</v>
      </c>
      <c r="H129" s="8" t="n">
        <v>5020</v>
      </c>
      <c r="I129" s="8" t="n">
        <v>3589</v>
      </c>
      <c r="J129" s="8" t="n">
        <v>2965</v>
      </c>
      <c r="K129" s="8" t="n">
        <v>2024</v>
      </c>
      <c r="L129" s="8" t="n">
        <v>4769</v>
      </c>
      <c r="M129" s="8" t="n">
        <v>1769</v>
      </c>
      <c r="N129" s="8" t="n">
        <v>3237</v>
      </c>
      <c r="O129" s="8" t="n">
        <f aca="false">E129+G129+I129+K129+M129</f>
        <v>15429</v>
      </c>
      <c r="P129" s="8" t="n">
        <f aca="false">F129+H129+J129+L129+N129</f>
        <v>17993</v>
      </c>
      <c r="Q129" s="8" t="n">
        <f aca="false">SUM(O129:P129)</f>
        <v>33422</v>
      </c>
      <c r="R129" s="9" t="n">
        <f aca="false">(O129/Q129)*100</f>
        <v>46.1642032194363</v>
      </c>
      <c r="S129" s="9" t="n">
        <f aca="false">(P129/Q129)*100</f>
        <v>53.8357967805637</v>
      </c>
    </row>
    <row r="130" customFormat="false" ht="12.8" hidden="false" customHeight="false" outlineLevel="0" collapsed="false">
      <c r="A130" s="6" t="s">
        <v>69</v>
      </c>
      <c r="B130" s="7" t="s">
        <v>283</v>
      </c>
      <c r="C130" s="6" t="s">
        <v>294</v>
      </c>
      <c r="D130" s="7" t="s">
        <v>295</v>
      </c>
      <c r="E130" s="8" t="n">
        <v>1252</v>
      </c>
      <c r="F130" s="8" t="n">
        <v>1237</v>
      </c>
      <c r="G130" s="8" t="n">
        <v>2903</v>
      </c>
      <c r="H130" s="8" t="n">
        <v>2189</v>
      </c>
      <c r="I130" s="8" t="n">
        <v>1721</v>
      </c>
      <c r="J130" s="8" t="n">
        <v>1303</v>
      </c>
      <c r="K130" s="8" t="n">
        <v>971</v>
      </c>
      <c r="L130" s="8" t="n">
        <v>1997</v>
      </c>
      <c r="M130" s="8" t="n">
        <v>748</v>
      </c>
      <c r="N130" s="8" t="n">
        <v>1299</v>
      </c>
      <c r="O130" s="8" t="n">
        <f aca="false">E130+G130+I130+K130+M130</f>
        <v>7595</v>
      </c>
      <c r="P130" s="8" t="n">
        <f aca="false">F130+H130+J130+L130+N130</f>
        <v>8025</v>
      </c>
      <c r="Q130" s="8" t="n">
        <f aca="false">SUM(O130:P130)</f>
        <v>15620</v>
      </c>
      <c r="R130" s="9" t="n">
        <f aca="false">(O130/Q130)*100</f>
        <v>48.6235595390525</v>
      </c>
      <c r="S130" s="9" t="n">
        <f aca="false">(P130/Q130)*100</f>
        <v>51.3764404609475</v>
      </c>
    </row>
    <row r="131" customFormat="false" ht="12.8" hidden="false" customHeight="false" outlineLevel="0" collapsed="false">
      <c r="A131" s="6" t="s">
        <v>71</v>
      </c>
      <c r="B131" s="7" t="s">
        <v>296</v>
      </c>
      <c r="C131" s="6" t="s">
        <v>297</v>
      </c>
      <c r="D131" s="7" t="s">
        <v>298</v>
      </c>
      <c r="E131" s="8" t="n">
        <v>4409</v>
      </c>
      <c r="F131" s="8" t="n">
        <v>5216</v>
      </c>
      <c r="G131" s="8" t="n">
        <v>10308</v>
      </c>
      <c r="H131" s="8" t="n">
        <v>9791</v>
      </c>
      <c r="I131" s="8" t="n">
        <v>5461</v>
      </c>
      <c r="J131" s="8" t="n">
        <v>5376</v>
      </c>
      <c r="K131" s="8" t="n">
        <v>3215</v>
      </c>
      <c r="L131" s="8" t="n">
        <v>4696</v>
      </c>
      <c r="M131" s="8" t="n">
        <v>3056</v>
      </c>
      <c r="N131" s="8" t="n">
        <v>4073</v>
      </c>
      <c r="O131" s="8" t="n">
        <f aca="false">E131+G131+I131+K131+M131</f>
        <v>26449</v>
      </c>
      <c r="P131" s="8" t="n">
        <f aca="false">F131+H131+J131+L131+N131</f>
        <v>29152</v>
      </c>
      <c r="Q131" s="8" t="n">
        <f aca="false">SUM(O131:P131)</f>
        <v>55601</v>
      </c>
      <c r="R131" s="9" t="n">
        <f aca="false">(O131/Q131)*100</f>
        <v>47.5692883221525</v>
      </c>
      <c r="S131" s="9" t="n">
        <f aca="false">(P131/Q131)*100</f>
        <v>52.4307116778475</v>
      </c>
    </row>
    <row r="132" customFormat="false" ht="12.8" hidden="false" customHeight="false" outlineLevel="0" collapsed="false">
      <c r="A132" s="6" t="s">
        <v>71</v>
      </c>
      <c r="B132" s="7" t="s">
        <v>296</v>
      </c>
      <c r="C132" s="6" t="s">
        <v>299</v>
      </c>
      <c r="D132" s="7" t="s">
        <v>300</v>
      </c>
      <c r="E132" s="8" t="n">
        <v>2759</v>
      </c>
      <c r="F132" s="8" t="n">
        <v>3248</v>
      </c>
      <c r="G132" s="8" t="n">
        <v>5861</v>
      </c>
      <c r="H132" s="8" t="n">
        <v>5777</v>
      </c>
      <c r="I132" s="8" t="n">
        <v>3095</v>
      </c>
      <c r="J132" s="8" t="n">
        <v>3191</v>
      </c>
      <c r="K132" s="8" t="n">
        <v>1916</v>
      </c>
      <c r="L132" s="8" t="n">
        <v>3174</v>
      </c>
      <c r="M132" s="8" t="n">
        <v>1987</v>
      </c>
      <c r="N132" s="8" t="n">
        <v>2921</v>
      </c>
      <c r="O132" s="8" t="n">
        <f aca="false">E132+G132+I132+K132+M132</f>
        <v>15618</v>
      </c>
      <c r="P132" s="8" t="n">
        <f aca="false">F132+H132+J132+L132+N132</f>
        <v>18311</v>
      </c>
      <c r="Q132" s="8" t="n">
        <f aca="false">SUM(O132:P132)</f>
        <v>33929</v>
      </c>
      <c r="R132" s="9" t="n">
        <f aca="false">(O132/Q132)*100</f>
        <v>46.0314185505025</v>
      </c>
      <c r="S132" s="9" t="n">
        <f aca="false">(P132/Q132)*100</f>
        <v>53.9685814494975</v>
      </c>
    </row>
    <row r="133" customFormat="false" ht="12.8" hidden="false" customHeight="false" outlineLevel="0" collapsed="false">
      <c r="A133" s="6" t="s">
        <v>71</v>
      </c>
      <c r="B133" s="7" t="s">
        <v>296</v>
      </c>
      <c r="C133" s="6" t="s">
        <v>301</v>
      </c>
      <c r="D133" s="7" t="s">
        <v>302</v>
      </c>
      <c r="E133" s="8" t="n">
        <v>5174</v>
      </c>
      <c r="F133" s="8" t="n">
        <v>4414</v>
      </c>
      <c r="G133" s="8" t="n">
        <v>9152</v>
      </c>
      <c r="H133" s="8" t="n">
        <v>7165</v>
      </c>
      <c r="I133" s="8" t="n">
        <v>3591</v>
      </c>
      <c r="J133" s="8" t="n">
        <v>2975</v>
      </c>
      <c r="K133" s="8" t="n">
        <v>2488</v>
      </c>
      <c r="L133" s="8" t="n">
        <v>3366</v>
      </c>
      <c r="M133" s="8" t="n">
        <v>1872</v>
      </c>
      <c r="N133" s="8" t="n">
        <v>2435</v>
      </c>
      <c r="O133" s="8" t="n">
        <f aca="false">E133+G133+I133+K133+M133</f>
        <v>22277</v>
      </c>
      <c r="P133" s="8" t="n">
        <f aca="false">F133+H133+J133+L133+N133</f>
        <v>20355</v>
      </c>
      <c r="Q133" s="8" t="n">
        <f aca="false">SUM(O133:P133)</f>
        <v>42632</v>
      </c>
      <c r="R133" s="9" t="n">
        <f aca="false">(O133/Q133)*100</f>
        <v>52.2541752674048</v>
      </c>
      <c r="S133" s="9" t="n">
        <f aca="false">(P133/Q133)*100</f>
        <v>47.7458247325952</v>
      </c>
    </row>
    <row r="134" customFormat="false" ht="12.8" hidden="false" customHeight="false" outlineLevel="0" collapsed="false">
      <c r="A134" s="6" t="s">
        <v>71</v>
      </c>
      <c r="B134" s="7" t="s">
        <v>296</v>
      </c>
      <c r="C134" s="6" t="s">
        <v>303</v>
      </c>
      <c r="D134" s="7" t="s">
        <v>304</v>
      </c>
      <c r="E134" s="8" t="n">
        <v>3644</v>
      </c>
      <c r="F134" s="8" t="n">
        <v>5083</v>
      </c>
      <c r="G134" s="8" t="n">
        <v>8070</v>
      </c>
      <c r="H134" s="8" t="n">
        <v>7742</v>
      </c>
      <c r="I134" s="8" t="n">
        <v>5087</v>
      </c>
      <c r="J134" s="8" t="n">
        <v>4909</v>
      </c>
      <c r="K134" s="8" t="n">
        <v>2988</v>
      </c>
      <c r="L134" s="8" t="n">
        <v>4465</v>
      </c>
      <c r="M134" s="8" t="n">
        <v>2622</v>
      </c>
      <c r="N134" s="8" t="n">
        <v>3460</v>
      </c>
      <c r="O134" s="8" t="n">
        <f aca="false">E134+G134+I134+K134+M134</f>
        <v>22411</v>
      </c>
      <c r="P134" s="8" t="n">
        <f aca="false">F134+H134+J134+L134+N134</f>
        <v>25659</v>
      </c>
      <c r="Q134" s="8" t="n">
        <f aca="false">SUM(O134:P134)</f>
        <v>48070</v>
      </c>
      <c r="R134" s="9" t="n">
        <f aca="false">(O134/Q134)*100</f>
        <v>46.6215935094654</v>
      </c>
      <c r="S134" s="9" t="n">
        <f aca="false">(P134/Q134)*100</f>
        <v>53.3784064905346</v>
      </c>
    </row>
    <row r="135" customFormat="false" ht="12.8" hidden="false" customHeight="false" outlineLevel="0" collapsed="false">
      <c r="A135" s="6" t="s">
        <v>73</v>
      </c>
      <c r="B135" s="7" t="s">
        <v>305</v>
      </c>
      <c r="C135" s="6" t="s">
        <v>306</v>
      </c>
      <c r="D135" s="7" t="s">
        <v>307</v>
      </c>
      <c r="E135" s="8" t="n">
        <v>3220</v>
      </c>
      <c r="F135" s="8" t="n">
        <v>2916</v>
      </c>
      <c r="G135" s="8" t="n">
        <v>6982</v>
      </c>
      <c r="H135" s="8" t="n">
        <v>5690</v>
      </c>
      <c r="I135" s="8" t="n">
        <v>3456</v>
      </c>
      <c r="J135" s="8" t="n">
        <v>3465</v>
      </c>
      <c r="K135" s="8" t="n">
        <v>2089</v>
      </c>
      <c r="L135" s="8" t="n">
        <v>3480</v>
      </c>
      <c r="M135" s="8" t="n">
        <v>1730</v>
      </c>
      <c r="N135" s="8" t="n">
        <v>3075</v>
      </c>
      <c r="O135" s="8" t="n">
        <f aca="false">E135+G135+I135+K135+M135</f>
        <v>17477</v>
      </c>
      <c r="P135" s="8" t="n">
        <f aca="false">F135+H135+J135+L135+N135</f>
        <v>18626</v>
      </c>
      <c r="Q135" s="8" t="n">
        <f aca="false">SUM(O135:P135)</f>
        <v>36103</v>
      </c>
      <c r="R135" s="9" t="n">
        <f aca="false">(O135/Q135)*100</f>
        <v>48.4087194969947</v>
      </c>
      <c r="S135" s="9" t="n">
        <f aca="false">(P135/Q135)*100</f>
        <v>51.5912805030053</v>
      </c>
    </row>
    <row r="136" customFormat="false" ht="12.8" hidden="false" customHeight="false" outlineLevel="0" collapsed="false">
      <c r="A136" s="6" t="s">
        <v>73</v>
      </c>
      <c r="B136" s="7" t="s">
        <v>305</v>
      </c>
      <c r="C136" s="6" t="s">
        <v>308</v>
      </c>
      <c r="D136" s="7" t="s">
        <v>309</v>
      </c>
      <c r="E136" s="8" t="n">
        <v>3012</v>
      </c>
      <c r="F136" s="8" t="n">
        <v>2032</v>
      </c>
      <c r="G136" s="8" t="n">
        <v>4344</v>
      </c>
      <c r="H136" s="8" t="n">
        <v>3354</v>
      </c>
      <c r="I136" s="8" t="n">
        <v>2241</v>
      </c>
      <c r="J136" s="8" t="n">
        <v>2032</v>
      </c>
      <c r="K136" s="8" t="n">
        <v>1409</v>
      </c>
      <c r="L136" s="8" t="n">
        <v>2719</v>
      </c>
      <c r="M136" s="8" t="n">
        <v>1122</v>
      </c>
      <c r="N136" s="8" t="n">
        <v>2323</v>
      </c>
      <c r="O136" s="8" t="n">
        <f aca="false">E136+G136+I136+K136+M136</f>
        <v>12128</v>
      </c>
      <c r="P136" s="8" t="n">
        <f aca="false">F136+H136+J136+L136+N136</f>
        <v>12460</v>
      </c>
      <c r="Q136" s="8" t="n">
        <f aca="false">SUM(O136:P136)</f>
        <v>24588</v>
      </c>
      <c r="R136" s="9" t="n">
        <f aca="false">(O136/Q136)*100</f>
        <v>49.3248739222385</v>
      </c>
      <c r="S136" s="9" t="n">
        <f aca="false">(P136/Q136)*100</f>
        <v>50.6751260777615</v>
      </c>
    </row>
    <row r="137" customFormat="false" ht="12.8" hidden="false" customHeight="false" outlineLevel="0" collapsed="false">
      <c r="A137" s="6" t="s">
        <v>73</v>
      </c>
      <c r="B137" s="7" t="s">
        <v>305</v>
      </c>
      <c r="C137" s="6" t="s">
        <v>310</v>
      </c>
      <c r="D137" s="7" t="s">
        <v>311</v>
      </c>
      <c r="E137" s="8" t="n">
        <v>2221</v>
      </c>
      <c r="F137" s="8" t="n">
        <v>1584</v>
      </c>
      <c r="G137" s="8" t="n">
        <v>4353</v>
      </c>
      <c r="H137" s="8" t="n">
        <v>3142</v>
      </c>
      <c r="I137" s="8" t="n">
        <v>2005</v>
      </c>
      <c r="J137" s="8" t="n">
        <v>2226</v>
      </c>
      <c r="K137" s="8" t="n">
        <v>1309</v>
      </c>
      <c r="L137" s="8" t="n">
        <v>2235</v>
      </c>
      <c r="M137" s="8" t="n">
        <v>1121</v>
      </c>
      <c r="N137" s="8" t="n">
        <v>1900</v>
      </c>
      <c r="O137" s="8" t="n">
        <f aca="false">E137+G137+I137+K137+M137</f>
        <v>11009</v>
      </c>
      <c r="P137" s="8" t="n">
        <f aca="false">F137+H137+J137+L137+N137</f>
        <v>11087</v>
      </c>
      <c r="Q137" s="8" t="n">
        <f aca="false">SUM(O137:P137)</f>
        <v>22096</v>
      </c>
      <c r="R137" s="9" t="n">
        <f aca="false">(O137/Q137)*100</f>
        <v>49.8234974656046</v>
      </c>
      <c r="S137" s="9" t="n">
        <f aca="false">(P137/Q137)*100</f>
        <v>50.1765025343954</v>
      </c>
    </row>
    <row r="138" customFormat="false" ht="12.8" hidden="false" customHeight="false" outlineLevel="0" collapsed="false">
      <c r="A138" s="6" t="s">
        <v>75</v>
      </c>
      <c r="B138" s="7" t="s">
        <v>312</v>
      </c>
      <c r="C138" s="6" t="s">
        <v>313</v>
      </c>
      <c r="D138" s="7" t="s">
        <v>314</v>
      </c>
      <c r="E138" s="8" t="n">
        <v>4682</v>
      </c>
      <c r="F138" s="8" t="n">
        <v>5755</v>
      </c>
      <c r="G138" s="8" t="n">
        <v>10114</v>
      </c>
      <c r="H138" s="8" t="n">
        <v>11292</v>
      </c>
      <c r="I138" s="8" t="n">
        <v>6004</v>
      </c>
      <c r="J138" s="8" t="n">
        <v>7129</v>
      </c>
      <c r="K138" s="8" t="n">
        <v>4275</v>
      </c>
      <c r="L138" s="8" t="n">
        <v>5969</v>
      </c>
      <c r="M138" s="8" t="n">
        <v>4270</v>
      </c>
      <c r="N138" s="8" t="n">
        <v>6153</v>
      </c>
      <c r="O138" s="8" t="n">
        <f aca="false">E138+G138+I138+K138+M138</f>
        <v>29345</v>
      </c>
      <c r="P138" s="8" t="n">
        <f aca="false">F138+H138+J138+L138+N138</f>
        <v>36298</v>
      </c>
      <c r="Q138" s="8" t="n">
        <f aca="false">SUM(O138:P138)</f>
        <v>65643</v>
      </c>
      <c r="R138" s="9" t="n">
        <f aca="false">(O138/Q138)*100</f>
        <v>44.7039288271407</v>
      </c>
      <c r="S138" s="9" t="n">
        <f aca="false">(P138/Q138)*100</f>
        <v>55.2960711728593</v>
      </c>
    </row>
    <row r="139" customFormat="false" ht="12.8" hidden="false" customHeight="false" outlineLevel="0" collapsed="false">
      <c r="A139" s="6" t="s">
        <v>75</v>
      </c>
      <c r="B139" s="7" t="s">
        <v>312</v>
      </c>
      <c r="C139" s="6" t="s">
        <v>315</v>
      </c>
      <c r="D139" s="7" t="s">
        <v>316</v>
      </c>
      <c r="E139" s="8" t="n">
        <v>3223</v>
      </c>
      <c r="F139" s="8" t="n">
        <v>4214</v>
      </c>
      <c r="G139" s="8" t="n">
        <v>6532</v>
      </c>
      <c r="H139" s="8" t="n">
        <v>7797</v>
      </c>
      <c r="I139" s="8" t="n">
        <v>4018</v>
      </c>
      <c r="J139" s="8" t="n">
        <v>4838</v>
      </c>
      <c r="K139" s="8" t="n">
        <v>2654</v>
      </c>
      <c r="L139" s="8" t="n">
        <v>3345</v>
      </c>
      <c r="M139" s="8" t="n">
        <v>2872</v>
      </c>
      <c r="N139" s="8" t="n">
        <v>3696</v>
      </c>
      <c r="O139" s="8" t="n">
        <f aca="false">E139+G139+I139+K139+M139</f>
        <v>19299</v>
      </c>
      <c r="P139" s="8" t="n">
        <f aca="false">F139+H139+J139+L139+N139</f>
        <v>23890</v>
      </c>
      <c r="Q139" s="8" t="n">
        <f aca="false">SUM(O139:P139)</f>
        <v>43189</v>
      </c>
      <c r="R139" s="9" t="n">
        <f aca="false">(O139/Q139)*100</f>
        <v>44.6849892333696</v>
      </c>
      <c r="S139" s="9" t="n">
        <f aca="false">(P139/Q139)*100</f>
        <v>55.3150107666304</v>
      </c>
    </row>
    <row r="140" customFormat="false" ht="12.8" hidden="false" customHeight="false" outlineLevel="0" collapsed="false">
      <c r="A140" s="6" t="s">
        <v>75</v>
      </c>
      <c r="B140" s="7" t="s">
        <v>312</v>
      </c>
      <c r="C140" s="6" t="s">
        <v>317</v>
      </c>
      <c r="D140" s="7" t="s">
        <v>318</v>
      </c>
      <c r="E140" s="8" t="n">
        <v>5325</v>
      </c>
      <c r="F140" s="8" t="n">
        <v>6927</v>
      </c>
      <c r="G140" s="8" t="n">
        <v>12788</v>
      </c>
      <c r="H140" s="8" t="n">
        <v>13960</v>
      </c>
      <c r="I140" s="8" t="n">
        <v>7703</v>
      </c>
      <c r="J140" s="8" t="n">
        <v>8915</v>
      </c>
      <c r="K140" s="8" t="n">
        <v>4686</v>
      </c>
      <c r="L140" s="8" t="n">
        <v>5530</v>
      </c>
      <c r="M140" s="8" t="n">
        <v>5095</v>
      </c>
      <c r="N140" s="8" t="n">
        <v>5873</v>
      </c>
      <c r="O140" s="8" t="n">
        <f aca="false">E140+G140+I140+K140+M140</f>
        <v>35597</v>
      </c>
      <c r="P140" s="8" t="n">
        <f aca="false">F140+H140+J140+L140+N140</f>
        <v>41205</v>
      </c>
      <c r="Q140" s="8" t="n">
        <f aca="false">SUM(O140:P140)</f>
        <v>76802</v>
      </c>
      <c r="R140" s="9" t="n">
        <f aca="false">(O140/Q140)*100</f>
        <v>46.3490534100674</v>
      </c>
      <c r="S140" s="9" t="n">
        <f aca="false">(P140/Q140)*100</f>
        <v>53.6509465899326</v>
      </c>
    </row>
    <row r="141" customFormat="false" ht="12.8" hidden="false" customHeight="false" outlineLevel="0" collapsed="false">
      <c r="A141" s="6" t="s">
        <v>75</v>
      </c>
      <c r="B141" s="7" t="s">
        <v>312</v>
      </c>
      <c r="C141" s="6" t="s">
        <v>319</v>
      </c>
      <c r="D141" s="7" t="s">
        <v>320</v>
      </c>
      <c r="E141" s="8" t="n">
        <v>5455</v>
      </c>
      <c r="F141" s="8" t="n">
        <v>6741</v>
      </c>
      <c r="G141" s="8" t="n">
        <v>12157</v>
      </c>
      <c r="H141" s="8" t="n">
        <v>12556</v>
      </c>
      <c r="I141" s="8" t="n">
        <v>7782</v>
      </c>
      <c r="J141" s="8" t="n">
        <v>7821</v>
      </c>
      <c r="K141" s="8" t="n">
        <v>5518</v>
      </c>
      <c r="L141" s="8" t="n">
        <v>7442</v>
      </c>
      <c r="M141" s="8" t="n">
        <v>4945</v>
      </c>
      <c r="N141" s="8" t="n">
        <v>7065</v>
      </c>
      <c r="O141" s="8" t="n">
        <f aca="false">E141+G141+I141+K141+M141</f>
        <v>35857</v>
      </c>
      <c r="P141" s="8" t="n">
        <f aca="false">F141+H141+J141+L141+N141</f>
        <v>41625</v>
      </c>
      <c r="Q141" s="8" t="n">
        <f aca="false">SUM(O141:P141)</f>
        <v>77482</v>
      </c>
      <c r="R141" s="9" t="n">
        <f aca="false">(O141/Q141)*100</f>
        <v>46.2778451769443</v>
      </c>
      <c r="S141" s="9" t="n">
        <f aca="false">(P141/Q141)*100</f>
        <v>53.7221548230557</v>
      </c>
    </row>
    <row r="142" customFormat="false" ht="12.8" hidden="false" customHeight="false" outlineLevel="0" collapsed="false">
      <c r="A142" s="6" t="s">
        <v>75</v>
      </c>
      <c r="B142" s="7" t="s">
        <v>312</v>
      </c>
      <c r="C142" s="6" t="s">
        <v>321</v>
      </c>
      <c r="D142" s="7" t="s">
        <v>322</v>
      </c>
      <c r="E142" s="8" t="n">
        <v>4851</v>
      </c>
      <c r="F142" s="8" t="n">
        <v>6819</v>
      </c>
      <c r="G142" s="8" t="n">
        <v>12122</v>
      </c>
      <c r="H142" s="8" t="n">
        <v>12418</v>
      </c>
      <c r="I142" s="8" t="n">
        <v>7438</v>
      </c>
      <c r="J142" s="8" t="n">
        <v>7732</v>
      </c>
      <c r="K142" s="8" t="n">
        <v>5277</v>
      </c>
      <c r="L142" s="8" t="n">
        <v>7469</v>
      </c>
      <c r="M142" s="8" t="n">
        <v>5036</v>
      </c>
      <c r="N142" s="8" t="n">
        <v>7344</v>
      </c>
      <c r="O142" s="8" t="n">
        <f aca="false">E142+G142+I142+K142+M142</f>
        <v>34724</v>
      </c>
      <c r="P142" s="8" t="n">
        <f aca="false">F142+H142+J142+L142+N142</f>
        <v>41782</v>
      </c>
      <c r="Q142" s="8" t="n">
        <f aca="false">SUM(O142:P142)</f>
        <v>76506</v>
      </c>
      <c r="R142" s="9" t="n">
        <f aca="false">(O142/Q142)*100</f>
        <v>45.3872898857606</v>
      </c>
      <c r="S142" s="9" t="n">
        <f aca="false">(P142/Q142)*100</f>
        <v>54.6127101142394</v>
      </c>
    </row>
    <row r="143" customFormat="false" ht="12.8" hidden="false" customHeight="false" outlineLevel="0" collapsed="false">
      <c r="A143" s="6" t="s">
        <v>78</v>
      </c>
      <c r="B143" s="7" t="s">
        <v>323</v>
      </c>
      <c r="C143" s="6" t="s">
        <v>324</v>
      </c>
      <c r="D143" s="7" t="s">
        <v>325</v>
      </c>
      <c r="E143" s="8" t="n">
        <v>6885</v>
      </c>
      <c r="F143" s="8" t="n">
        <v>8707</v>
      </c>
      <c r="G143" s="8" t="n">
        <v>13291</v>
      </c>
      <c r="H143" s="8" t="n">
        <v>13691</v>
      </c>
      <c r="I143" s="8" t="n">
        <v>7923</v>
      </c>
      <c r="J143" s="8" t="n">
        <v>8533</v>
      </c>
      <c r="K143" s="8" t="n">
        <v>4777</v>
      </c>
      <c r="L143" s="8" t="n">
        <v>6921</v>
      </c>
      <c r="M143" s="8" t="n">
        <v>4679</v>
      </c>
      <c r="N143" s="8" t="n">
        <v>6460</v>
      </c>
      <c r="O143" s="8" t="n">
        <f aca="false">E143+G143+I143+K143+M143</f>
        <v>37555</v>
      </c>
      <c r="P143" s="8" t="n">
        <f aca="false">F143+H143+J143+L143+N143</f>
        <v>44312</v>
      </c>
      <c r="Q143" s="8" t="n">
        <f aca="false">SUM(O143:P143)</f>
        <v>81867</v>
      </c>
      <c r="R143" s="9" t="n">
        <f aca="false">(O143/Q143)*100</f>
        <v>45.8731845554375</v>
      </c>
      <c r="S143" s="9" t="n">
        <f aca="false">(P143/Q143)*100</f>
        <v>54.1268154445625</v>
      </c>
    </row>
    <row r="144" customFormat="false" ht="12.8" hidden="false" customHeight="false" outlineLevel="0" collapsed="false">
      <c r="A144" s="6" t="s">
        <v>78</v>
      </c>
      <c r="B144" s="7" t="s">
        <v>323</v>
      </c>
      <c r="C144" s="6" t="s">
        <v>326</v>
      </c>
      <c r="D144" s="7" t="s">
        <v>327</v>
      </c>
      <c r="E144" s="8" t="n">
        <v>8520</v>
      </c>
      <c r="F144" s="8" t="n">
        <v>10587</v>
      </c>
      <c r="G144" s="8" t="n">
        <v>19511</v>
      </c>
      <c r="H144" s="8" t="n">
        <v>21434</v>
      </c>
      <c r="I144" s="8" t="n">
        <v>10838</v>
      </c>
      <c r="J144" s="8" t="n">
        <v>13389</v>
      </c>
      <c r="K144" s="8" t="n">
        <v>6226</v>
      </c>
      <c r="L144" s="8" t="n">
        <v>6341</v>
      </c>
      <c r="M144" s="8" t="n">
        <v>7199</v>
      </c>
      <c r="N144" s="8" t="n">
        <v>6806</v>
      </c>
      <c r="O144" s="8" t="n">
        <f aca="false">E144+G144+I144+K144+M144</f>
        <v>52294</v>
      </c>
      <c r="P144" s="8" t="n">
        <f aca="false">F144+H144+J144+L144+N144</f>
        <v>58557</v>
      </c>
      <c r="Q144" s="8" t="n">
        <f aca="false">SUM(O144:P144)</f>
        <v>110851</v>
      </c>
      <c r="R144" s="9" t="n">
        <f aca="false">(O144/Q144)*100</f>
        <v>47.1750367610576</v>
      </c>
      <c r="S144" s="9" t="n">
        <f aca="false">(P144/Q144)*100</f>
        <v>52.8249632389424</v>
      </c>
    </row>
    <row r="145" customFormat="false" ht="12.8" hidden="false" customHeight="false" outlineLevel="0" collapsed="false">
      <c r="A145" s="6" t="s">
        <v>78</v>
      </c>
      <c r="B145" s="7" t="s">
        <v>323</v>
      </c>
      <c r="C145" s="6" t="s">
        <v>328</v>
      </c>
      <c r="D145" s="7" t="s">
        <v>329</v>
      </c>
      <c r="E145" s="8" t="n">
        <v>6067</v>
      </c>
      <c r="F145" s="8" t="n">
        <v>7447</v>
      </c>
      <c r="G145" s="8" t="n">
        <v>11828</v>
      </c>
      <c r="H145" s="8" t="n">
        <v>12261</v>
      </c>
      <c r="I145" s="8" t="n">
        <v>6908</v>
      </c>
      <c r="J145" s="8" t="n">
        <v>7518</v>
      </c>
      <c r="K145" s="8" t="n">
        <v>3743</v>
      </c>
      <c r="L145" s="8" t="n">
        <v>4805</v>
      </c>
      <c r="M145" s="8" t="n">
        <v>3761</v>
      </c>
      <c r="N145" s="8" t="n">
        <v>4484</v>
      </c>
      <c r="O145" s="8" t="n">
        <f aca="false">E145+G145+I145+K145+M145</f>
        <v>32307</v>
      </c>
      <c r="P145" s="8" t="n">
        <f aca="false">F145+H145+J145+L145+N145</f>
        <v>36515</v>
      </c>
      <c r="Q145" s="8" t="n">
        <f aca="false">SUM(O145:P145)</f>
        <v>68822</v>
      </c>
      <c r="R145" s="9" t="n">
        <f aca="false">(O145/Q145)*100</f>
        <v>46.9428380459737</v>
      </c>
      <c r="S145" s="9" t="n">
        <f aca="false">(P145/Q145)*100</f>
        <v>53.0571619540263</v>
      </c>
    </row>
    <row r="146" customFormat="false" ht="12.8" hidden="false" customHeight="false" outlineLevel="0" collapsed="false">
      <c r="A146" s="6" t="s">
        <v>78</v>
      </c>
      <c r="B146" s="7" t="s">
        <v>323</v>
      </c>
      <c r="C146" s="6" t="s">
        <v>330</v>
      </c>
      <c r="D146" s="7" t="s">
        <v>331</v>
      </c>
      <c r="E146" s="8" t="n">
        <v>4896</v>
      </c>
      <c r="F146" s="8" t="n">
        <v>5920</v>
      </c>
      <c r="G146" s="8" t="n">
        <v>9524</v>
      </c>
      <c r="H146" s="8" t="n">
        <v>9106</v>
      </c>
      <c r="I146" s="8" t="n">
        <v>5469</v>
      </c>
      <c r="J146" s="8" t="n">
        <v>5763</v>
      </c>
      <c r="K146" s="8" t="n">
        <v>3190</v>
      </c>
      <c r="L146" s="8" t="n">
        <v>4026</v>
      </c>
      <c r="M146" s="8" t="n">
        <v>3221</v>
      </c>
      <c r="N146" s="8" t="n">
        <v>3682</v>
      </c>
      <c r="O146" s="8" t="n">
        <f aca="false">E146+G146+I146+K146+M146</f>
        <v>26300</v>
      </c>
      <c r="P146" s="8" t="n">
        <f aca="false">F146+H146+J146+L146+N146</f>
        <v>28497</v>
      </c>
      <c r="Q146" s="8" t="n">
        <f aca="false">SUM(O146:P146)</f>
        <v>54797</v>
      </c>
      <c r="R146" s="9" t="n">
        <f aca="false">(O146/Q146)*100</f>
        <v>47.9953282113984</v>
      </c>
      <c r="S146" s="9" t="n">
        <f aca="false">(P146/Q146)*100</f>
        <v>52.0046717886016</v>
      </c>
    </row>
    <row r="147" customFormat="false" ht="12.8" hidden="false" customHeight="false" outlineLevel="0" collapsed="false">
      <c r="A147" s="6" t="s">
        <v>78</v>
      </c>
      <c r="B147" s="7" t="s">
        <v>323</v>
      </c>
      <c r="C147" s="6" t="s">
        <v>332</v>
      </c>
      <c r="D147" s="7" t="s">
        <v>333</v>
      </c>
      <c r="E147" s="8" t="n">
        <v>5805</v>
      </c>
      <c r="F147" s="8" t="n">
        <v>7004</v>
      </c>
      <c r="G147" s="8" t="n">
        <v>12363</v>
      </c>
      <c r="H147" s="8" t="n">
        <v>12432</v>
      </c>
      <c r="I147" s="8" t="n">
        <v>6479</v>
      </c>
      <c r="J147" s="8" t="n">
        <v>7261</v>
      </c>
      <c r="K147" s="8" t="n">
        <v>3449</v>
      </c>
      <c r="L147" s="8" t="n">
        <v>3838</v>
      </c>
      <c r="M147" s="8" t="n">
        <v>4007</v>
      </c>
      <c r="N147" s="8" t="n">
        <v>3944</v>
      </c>
      <c r="O147" s="8" t="n">
        <f aca="false">E147+G147+I147+K147+M147</f>
        <v>32103</v>
      </c>
      <c r="P147" s="8" t="n">
        <f aca="false">F147+H147+J147+L147+N147</f>
        <v>34479</v>
      </c>
      <c r="Q147" s="8" t="n">
        <f aca="false">SUM(O147:P147)</f>
        <v>66582</v>
      </c>
      <c r="R147" s="9" t="n">
        <f aca="false">(O147/Q147)*100</f>
        <v>48.2157339821573</v>
      </c>
      <c r="S147" s="9" t="n">
        <f aca="false">(P147/Q147)*100</f>
        <v>51.7842660178427</v>
      </c>
    </row>
    <row r="148" customFormat="false" ht="12.8" hidden="false" customHeight="false" outlineLevel="0" collapsed="false">
      <c r="A148" s="6" t="s">
        <v>78</v>
      </c>
      <c r="B148" s="7" t="s">
        <v>323</v>
      </c>
      <c r="C148" s="6" t="s">
        <v>334</v>
      </c>
      <c r="D148" s="7" t="s">
        <v>335</v>
      </c>
      <c r="E148" s="8" t="n">
        <v>5512</v>
      </c>
      <c r="F148" s="8" t="n">
        <v>7096</v>
      </c>
      <c r="G148" s="8" t="n">
        <v>11434</v>
      </c>
      <c r="H148" s="8" t="n">
        <v>11545</v>
      </c>
      <c r="I148" s="8" t="n">
        <v>6548</v>
      </c>
      <c r="J148" s="8" t="n">
        <v>7234</v>
      </c>
      <c r="K148" s="8" t="n">
        <v>3913</v>
      </c>
      <c r="L148" s="8" t="n">
        <v>4868</v>
      </c>
      <c r="M148" s="8" t="n">
        <v>4137</v>
      </c>
      <c r="N148" s="8" t="n">
        <v>4849</v>
      </c>
      <c r="O148" s="8" t="n">
        <f aca="false">E148+G148+I148+K148+M148</f>
        <v>31544</v>
      </c>
      <c r="P148" s="8" t="n">
        <f aca="false">F148+H148+J148+L148+N148</f>
        <v>35592</v>
      </c>
      <c r="Q148" s="8" t="n">
        <f aca="false">SUM(O148:P148)</f>
        <v>67136</v>
      </c>
      <c r="R148" s="9" t="n">
        <f aca="false">(O148/Q148)*100</f>
        <v>46.9852240228789</v>
      </c>
      <c r="S148" s="9" t="n">
        <f aca="false">(P148/Q148)*100</f>
        <v>53.0147759771211</v>
      </c>
    </row>
    <row r="149" customFormat="false" ht="12.8" hidden="false" customHeight="false" outlineLevel="0" collapsed="false">
      <c r="A149" s="6" t="s">
        <v>80</v>
      </c>
      <c r="B149" s="7" t="s">
        <v>336</v>
      </c>
      <c r="C149" s="6" t="s">
        <v>337</v>
      </c>
      <c r="D149" s="7" t="s">
        <v>338</v>
      </c>
      <c r="E149" s="8" t="n">
        <v>3267</v>
      </c>
      <c r="F149" s="8" t="n">
        <v>3773</v>
      </c>
      <c r="G149" s="8" t="n">
        <v>5901</v>
      </c>
      <c r="H149" s="8" t="n">
        <v>5696</v>
      </c>
      <c r="I149" s="8" t="n">
        <v>3168</v>
      </c>
      <c r="J149" s="8" t="n">
        <v>3484</v>
      </c>
      <c r="K149" s="8" t="n">
        <v>1678</v>
      </c>
      <c r="L149" s="8" t="n">
        <v>4232</v>
      </c>
      <c r="M149" s="8" t="n">
        <v>1700</v>
      </c>
      <c r="N149" s="8" t="n">
        <v>3529</v>
      </c>
      <c r="O149" s="8" t="n">
        <f aca="false">E149+G149+I149+K149+M149</f>
        <v>15714</v>
      </c>
      <c r="P149" s="8" t="n">
        <f aca="false">F149+H149+J149+L149+N149</f>
        <v>20714</v>
      </c>
      <c r="Q149" s="8" t="n">
        <f aca="false">SUM(O149:P149)</f>
        <v>36428</v>
      </c>
      <c r="R149" s="9" t="n">
        <f aca="false">(O149/Q149)*100</f>
        <v>43.1371472493686</v>
      </c>
      <c r="S149" s="9" t="n">
        <f aca="false">(P149/Q149)*100</f>
        <v>56.8628527506314</v>
      </c>
    </row>
    <row r="150" customFormat="false" ht="12.8" hidden="false" customHeight="false" outlineLevel="0" collapsed="false">
      <c r="A150" s="6" t="s">
        <v>80</v>
      </c>
      <c r="B150" s="7" t="s">
        <v>336</v>
      </c>
      <c r="C150" s="6" t="s">
        <v>339</v>
      </c>
      <c r="D150" s="7" t="s">
        <v>340</v>
      </c>
      <c r="E150" s="8" t="n">
        <v>4046</v>
      </c>
      <c r="F150" s="8" t="n">
        <v>5335</v>
      </c>
      <c r="G150" s="8" t="n">
        <v>8155</v>
      </c>
      <c r="H150" s="8" t="n">
        <v>7936</v>
      </c>
      <c r="I150" s="8" t="n">
        <v>4498</v>
      </c>
      <c r="J150" s="8" t="n">
        <v>4772</v>
      </c>
      <c r="K150" s="8" t="n">
        <v>2902</v>
      </c>
      <c r="L150" s="8" t="n">
        <v>4342</v>
      </c>
      <c r="M150" s="8" t="n">
        <v>2668</v>
      </c>
      <c r="N150" s="8" t="n">
        <v>4165</v>
      </c>
      <c r="O150" s="8" t="n">
        <f aca="false">E150+G150+I150+K150+M150</f>
        <v>22269</v>
      </c>
      <c r="P150" s="8" t="n">
        <f aca="false">F150+H150+J150+L150+N150</f>
        <v>26550</v>
      </c>
      <c r="Q150" s="8" t="n">
        <f aca="false">SUM(O150:P150)</f>
        <v>48819</v>
      </c>
      <c r="R150" s="9" t="n">
        <f aca="false">(O150/Q150)*100</f>
        <v>45.6154366127942</v>
      </c>
      <c r="S150" s="9" t="n">
        <f aca="false">(P150/Q150)*100</f>
        <v>54.3845633872058</v>
      </c>
    </row>
    <row r="151" customFormat="false" ht="12.8" hidden="false" customHeight="false" outlineLevel="0" collapsed="false">
      <c r="A151" s="6" t="s">
        <v>80</v>
      </c>
      <c r="B151" s="7" t="s">
        <v>336</v>
      </c>
      <c r="C151" s="6" t="s">
        <v>341</v>
      </c>
      <c r="D151" s="7" t="s">
        <v>342</v>
      </c>
      <c r="E151" s="8" t="n">
        <v>3678</v>
      </c>
      <c r="F151" s="8" t="n">
        <v>4455</v>
      </c>
      <c r="G151" s="8" t="n">
        <v>6833</v>
      </c>
      <c r="H151" s="8" t="n">
        <v>7081</v>
      </c>
      <c r="I151" s="8" t="n">
        <v>3817</v>
      </c>
      <c r="J151" s="8" t="n">
        <v>4127</v>
      </c>
      <c r="K151" s="8" t="n">
        <v>2271</v>
      </c>
      <c r="L151" s="8" t="n">
        <v>3643</v>
      </c>
      <c r="M151" s="8" t="n">
        <v>2138</v>
      </c>
      <c r="N151" s="8" t="n">
        <v>3324</v>
      </c>
      <c r="O151" s="8" t="n">
        <f aca="false">E151+G151+I151+K151+M151</f>
        <v>18737</v>
      </c>
      <c r="P151" s="8" t="n">
        <f aca="false">F151+H151+J151+L151+N151</f>
        <v>22630</v>
      </c>
      <c r="Q151" s="8" t="n">
        <f aca="false">SUM(O151:P151)</f>
        <v>41367</v>
      </c>
      <c r="R151" s="9" t="n">
        <f aca="false">(O151/Q151)*100</f>
        <v>45.2945584644765</v>
      </c>
      <c r="S151" s="9" t="n">
        <f aca="false">(P151/Q151)*100</f>
        <v>54.7054415355235</v>
      </c>
    </row>
    <row r="152" customFormat="false" ht="12.8" hidden="false" customHeight="false" outlineLevel="0" collapsed="false">
      <c r="A152" s="6" t="s">
        <v>80</v>
      </c>
      <c r="B152" s="7" t="s">
        <v>336</v>
      </c>
      <c r="C152" s="6" t="s">
        <v>343</v>
      </c>
      <c r="D152" s="7" t="s">
        <v>344</v>
      </c>
      <c r="E152" s="8" t="n">
        <v>4325</v>
      </c>
      <c r="F152" s="8" t="n">
        <v>5828</v>
      </c>
      <c r="G152" s="8" t="n">
        <v>8251</v>
      </c>
      <c r="H152" s="8" t="n">
        <v>8795</v>
      </c>
      <c r="I152" s="8" t="n">
        <v>5113</v>
      </c>
      <c r="J152" s="8" t="n">
        <v>5560</v>
      </c>
      <c r="K152" s="8" t="n">
        <v>3117</v>
      </c>
      <c r="L152" s="8" t="n">
        <v>5247</v>
      </c>
      <c r="M152" s="8" t="n">
        <v>2888</v>
      </c>
      <c r="N152" s="8" t="n">
        <v>4926</v>
      </c>
      <c r="O152" s="8" t="n">
        <f aca="false">E152+G152+I152+K152+M152</f>
        <v>23694</v>
      </c>
      <c r="P152" s="8" t="n">
        <f aca="false">F152+H152+J152+L152+N152</f>
        <v>30356</v>
      </c>
      <c r="Q152" s="8" t="n">
        <f aca="false">SUM(O152:P152)</f>
        <v>54050</v>
      </c>
      <c r="R152" s="9" t="n">
        <f aca="false">(O152/Q152)*100</f>
        <v>43.8371877890842</v>
      </c>
      <c r="S152" s="9" t="n">
        <f aca="false">(P152/Q152)*100</f>
        <v>56.1628122109158</v>
      </c>
    </row>
    <row r="153" customFormat="false" ht="12.8" hidden="false" customHeight="false" outlineLevel="0" collapsed="false">
      <c r="A153" s="6" t="s">
        <v>82</v>
      </c>
      <c r="B153" s="7" t="s">
        <v>345</v>
      </c>
      <c r="C153" s="6" t="s">
        <v>346</v>
      </c>
      <c r="D153" s="7" t="s">
        <v>347</v>
      </c>
      <c r="E153" s="8" t="n">
        <v>3959</v>
      </c>
      <c r="F153" s="8" t="n">
        <v>4572</v>
      </c>
      <c r="G153" s="8" t="n">
        <v>7551</v>
      </c>
      <c r="H153" s="8" t="n">
        <v>7575</v>
      </c>
      <c r="I153" s="8" t="n">
        <v>3619</v>
      </c>
      <c r="J153" s="8" t="n">
        <v>4512</v>
      </c>
      <c r="K153" s="8" t="n">
        <v>2401</v>
      </c>
      <c r="L153" s="8" t="n">
        <v>3514</v>
      </c>
      <c r="M153" s="8" t="n">
        <v>2495</v>
      </c>
      <c r="N153" s="8" t="n">
        <v>3773</v>
      </c>
      <c r="O153" s="8" t="n">
        <f aca="false">E153+G153+I153+K153+M153</f>
        <v>20025</v>
      </c>
      <c r="P153" s="8" t="n">
        <f aca="false">F153+H153+J153+L153+N153</f>
        <v>23946</v>
      </c>
      <c r="Q153" s="8" t="n">
        <f aca="false">SUM(O153:P153)</f>
        <v>43971</v>
      </c>
      <c r="R153" s="9" t="n">
        <f aca="false">(O153/Q153)*100</f>
        <v>45.5413795456096</v>
      </c>
      <c r="S153" s="9" t="n">
        <f aca="false">(P153/Q153)*100</f>
        <v>54.4586204543904</v>
      </c>
    </row>
    <row r="154" customFormat="false" ht="12.8" hidden="false" customHeight="false" outlineLevel="0" collapsed="false">
      <c r="A154" s="6" t="s">
        <v>82</v>
      </c>
      <c r="B154" s="7" t="s">
        <v>345</v>
      </c>
      <c r="C154" s="6" t="s">
        <v>348</v>
      </c>
      <c r="D154" s="7" t="s">
        <v>349</v>
      </c>
      <c r="E154" s="8" t="n">
        <v>5081</v>
      </c>
      <c r="F154" s="8" t="n">
        <v>6684</v>
      </c>
      <c r="G154" s="8" t="n">
        <v>10312</v>
      </c>
      <c r="H154" s="8" t="n">
        <v>10464</v>
      </c>
      <c r="I154" s="8" t="n">
        <v>6015</v>
      </c>
      <c r="J154" s="8" t="n">
        <v>6193</v>
      </c>
      <c r="K154" s="8" t="n">
        <v>4043</v>
      </c>
      <c r="L154" s="8" t="n">
        <v>6686</v>
      </c>
      <c r="M154" s="8" t="n">
        <v>3779</v>
      </c>
      <c r="N154" s="8" t="n">
        <v>6609</v>
      </c>
      <c r="O154" s="8" t="n">
        <f aca="false">E154+G154+I154+K154+M154</f>
        <v>29230</v>
      </c>
      <c r="P154" s="8" t="n">
        <f aca="false">F154+H154+J154+L154+N154</f>
        <v>36636</v>
      </c>
      <c r="Q154" s="8" t="n">
        <f aca="false">SUM(O154:P154)</f>
        <v>65866</v>
      </c>
      <c r="R154" s="9" t="n">
        <f aca="false">(O154/Q154)*100</f>
        <v>44.3779795342058</v>
      </c>
      <c r="S154" s="9" t="n">
        <f aca="false">(P154/Q154)*100</f>
        <v>55.6220204657942</v>
      </c>
    </row>
    <row r="155" customFormat="false" ht="12.8" hidden="false" customHeight="false" outlineLevel="0" collapsed="false">
      <c r="A155" s="6" t="s">
        <v>82</v>
      </c>
      <c r="B155" s="7" t="s">
        <v>345</v>
      </c>
      <c r="C155" s="6" t="s">
        <v>350</v>
      </c>
      <c r="D155" s="7" t="s">
        <v>351</v>
      </c>
      <c r="E155" s="8" t="n">
        <v>3985</v>
      </c>
      <c r="F155" s="8" t="n">
        <v>4961</v>
      </c>
      <c r="G155" s="8" t="n">
        <v>8722</v>
      </c>
      <c r="H155" s="8" t="n">
        <v>9208</v>
      </c>
      <c r="I155" s="8" t="n">
        <v>4896</v>
      </c>
      <c r="J155" s="8" t="n">
        <v>6247</v>
      </c>
      <c r="K155" s="8" t="n">
        <v>2843</v>
      </c>
      <c r="L155" s="8" t="n">
        <v>3541</v>
      </c>
      <c r="M155" s="8" t="n">
        <v>3388</v>
      </c>
      <c r="N155" s="8" t="n">
        <v>3602</v>
      </c>
      <c r="O155" s="8" t="n">
        <f aca="false">E155+G155+I155+K155+M155</f>
        <v>23834</v>
      </c>
      <c r="P155" s="8" t="n">
        <f aca="false">F155+H155+J155+L155+N155</f>
        <v>27559</v>
      </c>
      <c r="Q155" s="8" t="n">
        <f aca="false">SUM(O155:P155)</f>
        <v>51393</v>
      </c>
      <c r="R155" s="9" t="n">
        <f aca="false">(O155/Q155)*100</f>
        <v>46.3759655984278</v>
      </c>
      <c r="S155" s="9" t="n">
        <f aca="false">(P155/Q155)*100</f>
        <v>53.6240344015722</v>
      </c>
    </row>
    <row r="156" customFormat="false" ht="12.8" hidden="false" customHeight="false" outlineLevel="0" collapsed="false">
      <c r="A156" s="6" t="s">
        <v>82</v>
      </c>
      <c r="B156" s="7" t="s">
        <v>345</v>
      </c>
      <c r="C156" s="6" t="s">
        <v>352</v>
      </c>
      <c r="D156" s="7" t="s">
        <v>353</v>
      </c>
      <c r="E156" s="8" t="n">
        <v>4576</v>
      </c>
      <c r="F156" s="8" t="n">
        <v>6171</v>
      </c>
      <c r="G156" s="8" t="n">
        <v>10317</v>
      </c>
      <c r="H156" s="8" t="n">
        <v>10476</v>
      </c>
      <c r="I156" s="8" t="n">
        <v>6022</v>
      </c>
      <c r="J156" s="8" t="n">
        <v>6106</v>
      </c>
      <c r="K156" s="8" t="n">
        <v>4034</v>
      </c>
      <c r="L156" s="8" t="n">
        <v>5673</v>
      </c>
      <c r="M156" s="8" t="n">
        <v>3732</v>
      </c>
      <c r="N156" s="8" t="n">
        <v>5192</v>
      </c>
      <c r="O156" s="8" t="n">
        <f aca="false">E156+G156+I156+K156+M156</f>
        <v>28681</v>
      </c>
      <c r="P156" s="8" t="n">
        <f aca="false">F156+H156+J156+L156+N156</f>
        <v>33618</v>
      </c>
      <c r="Q156" s="8" t="n">
        <f aca="false">SUM(O156:P156)</f>
        <v>62299</v>
      </c>
      <c r="R156" s="9" t="n">
        <f aca="false">(O156/Q156)*100</f>
        <v>46.0376571052505</v>
      </c>
      <c r="S156" s="9" t="n">
        <f aca="false">(P156/Q156)*100</f>
        <v>53.9623428947495</v>
      </c>
    </row>
    <row r="157" customFormat="false" ht="12.8" hidden="false" customHeight="false" outlineLevel="0" collapsed="false">
      <c r="A157" s="6" t="s">
        <v>82</v>
      </c>
      <c r="B157" s="7" t="s">
        <v>345</v>
      </c>
      <c r="C157" s="6" t="s">
        <v>354</v>
      </c>
      <c r="D157" s="7" t="s">
        <v>355</v>
      </c>
      <c r="E157" s="8" t="n">
        <v>4489</v>
      </c>
      <c r="F157" s="8" t="n">
        <v>5759</v>
      </c>
      <c r="G157" s="8" t="n">
        <v>9867</v>
      </c>
      <c r="H157" s="8" t="n">
        <v>10128</v>
      </c>
      <c r="I157" s="8" t="n">
        <v>5366</v>
      </c>
      <c r="J157" s="8" t="n">
        <v>5909</v>
      </c>
      <c r="K157" s="8" t="n">
        <v>3476</v>
      </c>
      <c r="L157" s="8" t="n">
        <v>5099</v>
      </c>
      <c r="M157" s="8" t="n">
        <v>3475</v>
      </c>
      <c r="N157" s="8" t="n">
        <v>4984</v>
      </c>
      <c r="O157" s="8" t="n">
        <f aca="false">E157+G157+I157+K157+M157</f>
        <v>26673</v>
      </c>
      <c r="P157" s="8" t="n">
        <f aca="false">F157+H157+J157+L157+N157</f>
        <v>31879</v>
      </c>
      <c r="Q157" s="8" t="n">
        <f aca="false">SUM(O157:P157)</f>
        <v>58552</v>
      </c>
      <c r="R157" s="9" t="n">
        <f aca="false">(O157/Q157)*100</f>
        <v>45.5543790135264</v>
      </c>
      <c r="S157" s="9" t="n">
        <f aca="false">(P157/Q157)*100</f>
        <v>54.4456209864736</v>
      </c>
    </row>
    <row r="158" customFormat="false" ht="12.8" hidden="false" customHeight="false" outlineLevel="0" collapsed="false">
      <c r="A158" s="6" t="s">
        <v>82</v>
      </c>
      <c r="B158" s="7" t="s">
        <v>345</v>
      </c>
      <c r="C158" s="6" t="s">
        <v>356</v>
      </c>
      <c r="D158" s="7" t="s">
        <v>357</v>
      </c>
      <c r="E158" s="8" t="n">
        <v>4603</v>
      </c>
      <c r="F158" s="8" t="n">
        <v>5946</v>
      </c>
      <c r="G158" s="8" t="n">
        <v>10821</v>
      </c>
      <c r="H158" s="8" t="n">
        <v>10618</v>
      </c>
      <c r="I158" s="8" t="n">
        <v>5870</v>
      </c>
      <c r="J158" s="8" t="n">
        <v>6456</v>
      </c>
      <c r="K158" s="8" t="n">
        <v>4022</v>
      </c>
      <c r="L158" s="8" t="n">
        <v>6202</v>
      </c>
      <c r="M158" s="8" t="n">
        <v>3754</v>
      </c>
      <c r="N158" s="8" t="n">
        <v>5634</v>
      </c>
      <c r="O158" s="8" t="n">
        <f aca="false">E158+G158+I158+K158+M158</f>
        <v>29070</v>
      </c>
      <c r="P158" s="8" t="n">
        <f aca="false">F158+H158+J158+L158+N158</f>
        <v>34856</v>
      </c>
      <c r="Q158" s="8" t="n">
        <f aca="false">SUM(O158:P158)</f>
        <v>63926</v>
      </c>
      <c r="R158" s="9" t="n">
        <f aca="false">(O158/Q158)*100</f>
        <v>45.4744548384069</v>
      </c>
      <c r="S158" s="9" t="n">
        <f aca="false">(P158/Q158)*100</f>
        <v>54.5255451615931</v>
      </c>
    </row>
    <row r="159" customFormat="false" ht="12.8" hidden="false" customHeight="false" outlineLevel="0" collapsed="false">
      <c r="A159" s="6" t="s">
        <v>84</v>
      </c>
      <c r="B159" s="7" t="s">
        <v>358</v>
      </c>
      <c r="C159" s="6" t="s">
        <v>359</v>
      </c>
      <c r="D159" s="7" t="s">
        <v>360</v>
      </c>
      <c r="E159" s="8" t="n">
        <v>3198</v>
      </c>
      <c r="F159" s="8" t="n">
        <v>3279</v>
      </c>
      <c r="G159" s="8" t="n">
        <v>5745</v>
      </c>
      <c r="H159" s="8" t="n">
        <v>4685</v>
      </c>
      <c r="I159" s="8" t="n">
        <v>2688</v>
      </c>
      <c r="J159" s="8" t="n">
        <v>2352</v>
      </c>
      <c r="K159" s="8" t="n">
        <v>1639</v>
      </c>
      <c r="L159" s="8" t="n">
        <v>2337</v>
      </c>
      <c r="M159" s="8" t="n">
        <v>1274</v>
      </c>
      <c r="N159" s="8" t="n">
        <v>1719</v>
      </c>
      <c r="O159" s="8" t="n">
        <f aca="false">E159+G159+I159+K159+M159</f>
        <v>14544</v>
      </c>
      <c r="P159" s="8" t="n">
        <f aca="false">F159+H159+J159+L159+N159</f>
        <v>14372</v>
      </c>
      <c r="Q159" s="8" t="n">
        <f aca="false">SUM(O159:P159)</f>
        <v>28916</v>
      </c>
      <c r="R159" s="9" t="n">
        <f aca="false">(O159/Q159)*100</f>
        <v>50.297413196846</v>
      </c>
      <c r="S159" s="9" t="n">
        <f aca="false">(P159/Q159)*100</f>
        <v>49.702586803154</v>
      </c>
    </row>
    <row r="160" customFormat="false" ht="12.8" hidden="false" customHeight="false" outlineLevel="0" collapsed="false">
      <c r="A160" s="6" t="s">
        <v>84</v>
      </c>
      <c r="B160" s="7" t="s">
        <v>358</v>
      </c>
      <c r="C160" s="6" t="s">
        <v>361</v>
      </c>
      <c r="D160" s="7" t="s">
        <v>362</v>
      </c>
      <c r="E160" s="8" t="n">
        <v>3473</v>
      </c>
      <c r="F160" s="8" t="n">
        <v>4486</v>
      </c>
      <c r="G160" s="8" t="n">
        <v>6099</v>
      </c>
      <c r="H160" s="8" t="n">
        <v>5932</v>
      </c>
      <c r="I160" s="8" t="n">
        <v>3560</v>
      </c>
      <c r="J160" s="8" t="n">
        <v>3447</v>
      </c>
      <c r="K160" s="8" t="n">
        <v>2740</v>
      </c>
      <c r="L160" s="8" t="n">
        <v>5823</v>
      </c>
      <c r="M160" s="8" t="n">
        <v>2124</v>
      </c>
      <c r="N160" s="8" t="n">
        <v>5090</v>
      </c>
      <c r="O160" s="8" t="n">
        <f aca="false">E160+G160+I160+K160+M160</f>
        <v>17996</v>
      </c>
      <c r="P160" s="8" t="n">
        <f aca="false">F160+H160+J160+L160+N160</f>
        <v>24778</v>
      </c>
      <c r="Q160" s="8" t="n">
        <f aca="false">SUM(O160:P160)</f>
        <v>42774</v>
      </c>
      <c r="R160" s="9" t="n">
        <f aca="false">(O160/Q160)*100</f>
        <v>42.072286903259</v>
      </c>
      <c r="S160" s="9" t="n">
        <f aca="false">(P160/Q160)*100</f>
        <v>57.927713096741</v>
      </c>
    </row>
    <row r="161" customFormat="false" ht="12.8" hidden="false" customHeight="false" outlineLevel="0" collapsed="false">
      <c r="A161" s="6" t="s">
        <v>84</v>
      </c>
      <c r="B161" s="7" t="s">
        <v>358</v>
      </c>
      <c r="C161" s="6" t="s">
        <v>363</v>
      </c>
      <c r="D161" s="7" t="s">
        <v>364</v>
      </c>
      <c r="E161" s="8" t="n">
        <v>3372</v>
      </c>
      <c r="F161" s="8" t="n">
        <v>4419</v>
      </c>
      <c r="G161" s="8" t="n">
        <v>5853</v>
      </c>
      <c r="H161" s="8" t="n">
        <v>5820</v>
      </c>
      <c r="I161" s="8" t="n">
        <v>3567</v>
      </c>
      <c r="J161" s="8" t="n">
        <v>3275</v>
      </c>
      <c r="K161" s="8" t="n">
        <v>2408</v>
      </c>
      <c r="L161" s="8" t="n">
        <v>3986</v>
      </c>
      <c r="M161" s="8" t="n">
        <v>1957</v>
      </c>
      <c r="N161" s="8" t="n">
        <v>3731</v>
      </c>
      <c r="O161" s="8" t="n">
        <f aca="false">E161+G161+I161+K161+M161</f>
        <v>17157</v>
      </c>
      <c r="P161" s="8" t="n">
        <f aca="false">F161+H161+J161+L161+N161</f>
        <v>21231</v>
      </c>
      <c r="Q161" s="8" t="n">
        <f aca="false">SUM(O161:P161)</f>
        <v>38388</v>
      </c>
      <c r="R161" s="9" t="n">
        <f aca="false">(O161/Q161)*100</f>
        <v>44.6936542669584</v>
      </c>
      <c r="S161" s="9" t="n">
        <f aca="false">(P161/Q161)*100</f>
        <v>55.3063457330416</v>
      </c>
    </row>
    <row r="162" customFormat="false" ht="12.8" hidden="false" customHeight="false" outlineLevel="0" collapsed="false">
      <c r="A162" s="6" t="s">
        <v>84</v>
      </c>
      <c r="B162" s="7" t="s">
        <v>358</v>
      </c>
      <c r="C162" s="6" t="s">
        <v>365</v>
      </c>
      <c r="D162" s="7" t="s">
        <v>366</v>
      </c>
      <c r="E162" s="8" t="n">
        <v>3266</v>
      </c>
      <c r="F162" s="8" t="n">
        <v>3949</v>
      </c>
      <c r="G162" s="8" t="n">
        <v>5739</v>
      </c>
      <c r="H162" s="8" t="n">
        <v>5630</v>
      </c>
      <c r="I162" s="8" t="n">
        <v>3052</v>
      </c>
      <c r="J162" s="8" t="n">
        <v>3054</v>
      </c>
      <c r="K162" s="8" t="n">
        <v>2148</v>
      </c>
      <c r="L162" s="8" t="n">
        <v>3416</v>
      </c>
      <c r="M162" s="8" t="n">
        <v>1837</v>
      </c>
      <c r="N162" s="8" t="n">
        <v>3071</v>
      </c>
      <c r="O162" s="8" t="n">
        <f aca="false">E162+G162+I162+K162+M162</f>
        <v>16042</v>
      </c>
      <c r="P162" s="8" t="n">
        <f aca="false">F162+H162+J162+L162+N162</f>
        <v>19120</v>
      </c>
      <c r="Q162" s="8" t="n">
        <f aca="false">SUM(O162:P162)</f>
        <v>35162</v>
      </c>
      <c r="R162" s="9" t="n">
        <f aca="false">(O162/Q162)*100</f>
        <v>45.6231158637165</v>
      </c>
      <c r="S162" s="9" t="n">
        <f aca="false">(P162/Q162)*100</f>
        <v>54.3768841362835</v>
      </c>
    </row>
    <row r="163" customFormat="false" ht="12.8" hidden="false" customHeight="false" outlineLevel="0" collapsed="false">
      <c r="A163" s="6" t="s">
        <v>84</v>
      </c>
      <c r="B163" s="7" t="s">
        <v>358</v>
      </c>
      <c r="C163" s="6" t="s">
        <v>367</v>
      </c>
      <c r="D163" s="7" t="s">
        <v>368</v>
      </c>
      <c r="E163" s="8" t="n">
        <v>3085</v>
      </c>
      <c r="F163" s="8" t="n">
        <v>3846</v>
      </c>
      <c r="G163" s="8" t="n">
        <v>4879</v>
      </c>
      <c r="H163" s="8" t="n">
        <v>4834</v>
      </c>
      <c r="I163" s="8" t="n">
        <v>2785</v>
      </c>
      <c r="J163" s="8" t="n">
        <v>3025</v>
      </c>
      <c r="K163" s="8" t="n">
        <v>1901</v>
      </c>
      <c r="L163" s="8" t="n">
        <v>3215</v>
      </c>
      <c r="M163" s="8" t="n">
        <v>1722</v>
      </c>
      <c r="N163" s="8" t="n">
        <v>2984</v>
      </c>
      <c r="O163" s="8" t="n">
        <f aca="false">E163+G163+I163+K163+M163</f>
        <v>14372</v>
      </c>
      <c r="P163" s="8" t="n">
        <f aca="false">F163+H163+J163+L163+N163</f>
        <v>17904</v>
      </c>
      <c r="Q163" s="8" t="n">
        <f aca="false">SUM(O163:P163)</f>
        <v>32276</v>
      </c>
      <c r="R163" s="9" t="n">
        <f aca="false">(O163/Q163)*100</f>
        <v>44.5284421861445</v>
      </c>
      <c r="S163" s="9" t="n">
        <f aca="false">(P163/Q163)*100</f>
        <v>55.4715578138555</v>
      </c>
    </row>
    <row r="164" customFormat="false" ht="12.8" hidden="false" customHeight="false" outlineLevel="0" collapsed="false">
      <c r="A164" s="6" t="s">
        <v>84</v>
      </c>
      <c r="B164" s="7" t="s">
        <v>358</v>
      </c>
      <c r="C164" s="6" t="s">
        <v>369</v>
      </c>
      <c r="D164" s="7" t="s">
        <v>370</v>
      </c>
      <c r="E164" s="8" t="n">
        <v>4838</v>
      </c>
      <c r="F164" s="8" t="n">
        <v>6018</v>
      </c>
      <c r="G164" s="8" t="n">
        <v>8346</v>
      </c>
      <c r="H164" s="8" t="n">
        <v>8893</v>
      </c>
      <c r="I164" s="8" t="n">
        <v>5364</v>
      </c>
      <c r="J164" s="8" t="n">
        <v>5686</v>
      </c>
      <c r="K164" s="8" t="n">
        <v>3298</v>
      </c>
      <c r="L164" s="8" t="n">
        <v>4619</v>
      </c>
      <c r="M164" s="8" t="n">
        <v>3339</v>
      </c>
      <c r="N164" s="8" t="n">
        <v>4341</v>
      </c>
      <c r="O164" s="8" t="n">
        <f aca="false">E164+G164+I164+K164+M164</f>
        <v>25185</v>
      </c>
      <c r="P164" s="8" t="n">
        <f aca="false">F164+H164+J164+L164+N164</f>
        <v>29557</v>
      </c>
      <c r="Q164" s="8" t="n">
        <f aca="false">SUM(O164:P164)</f>
        <v>54742</v>
      </c>
      <c r="R164" s="9" t="n">
        <f aca="false">(O164/Q164)*100</f>
        <v>46.0067224434621</v>
      </c>
      <c r="S164" s="9" t="n">
        <f aca="false">(P164/Q164)*100</f>
        <v>53.993277556538</v>
      </c>
    </row>
    <row r="165" customFormat="false" ht="12.8" hidden="false" customHeight="false" outlineLevel="0" collapsed="false">
      <c r="A165" s="6" t="s">
        <v>86</v>
      </c>
      <c r="B165" s="7" t="s">
        <v>371</v>
      </c>
      <c r="C165" s="6" t="s">
        <v>372</v>
      </c>
      <c r="D165" s="7" t="s">
        <v>373</v>
      </c>
      <c r="E165" s="8" t="n">
        <v>8166</v>
      </c>
      <c r="F165" s="8" t="n">
        <v>9606</v>
      </c>
      <c r="G165" s="8" t="n">
        <v>16042</v>
      </c>
      <c r="H165" s="8" t="n">
        <v>17715</v>
      </c>
      <c r="I165" s="8" t="n">
        <v>10615</v>
      </c>
      <c r="J165" s="8" t="n">
        <v>11971</v>
      </c>
      <c r="K165" s="8" t="n">
        <v>8036</v>
      </c>
      <c r="L165" s="8" t="n">
        <v>10840</v>
      </c>
      <c r="M165" s="8" t="n">
        <v>8226</v>
      </c>
      <c r="N165" s="8" t="n">
        <v>9713</v>
      </c>
      <c r="O165" s="8" t="n">
        <f aca="false">E165+G165+I165+K165+M165</f>
        <v>51085</v>
      </c>
      <c r="P165" s="8" t="n">
        <f aca="false">F165+H165+J165+L165+N165</f>
        <v>59845</v>
      </c>
      <c r="Q165" s="8" t="n">
        <f aca="false">SUM(O165:P165)</f>
        <v>110930</v>
      </c>
      <c r="R165" s="9" t="n">
        <f aca="false">(O165/Q165)*100</f>
        <v>46.0515640494005</v>
      </c>
      <c r="S165" s="9" t="n">
        <f aca="false">(P165/Q165)*100</f>
        <v>53.9484359505995</v>
      </c>
    </row>
    <row r="166" customFormat="false" ht="12.8" hidden="false" customHeight="false" outlineLevel="0" collapsed="false">
      <c r="A166" s="6" t="s">
        <v>86</v>
      </c>
      <c r="B166" s="7" t="s">
        <v>371</v>
      </c>
      <c r="C166" s="6" t="s">
        <v>374</v>
      </c>
      <c r="D166" s="7" t="s">
        <v>375</v>
      </c>
      <c r="E166" s="8" t="n">
        <v>6491</v>
      </c>
      <c r="F166" s="8" t="n">
        <v>7104</v>
      </c>
      <c r="G166" s="8" t="n">
        <v>13886</v>
      </c>
      <c r="H166" s="8" t="n">
        <v>14092</v>
      </c>
      <c r="I166" s="8" t="n">
        <v>9009</v>
      </c>
      <c r="J166" s="8" t="n">
        <v>9883</v>
      </c>
      <c r="K166" s="8" t="n">
        <v>6598</v>
      </c>
      <c r="L166" s="8" t="n">
        <v>7823</v>
      </c>
      <c r="M166" s="8" t="n">
        <v>6682</v>
      </c>
      <c r="N166" s="8" t="n">
        <v>7318</v>
      </c>
      <c r="O166" s="8" t="n">
        <f aca="false">E166+G166+I166+K166+M166</f>
        <v>42666</v>
      </c>
      <c r="P166" s="8" t="n">
        <f aca="false">F166+H166+J166+L166+N166</f>
        <v>46220</v>
      </c>
      <c r="Q166" s="8" t="n">
        <f aca="false">SUM(O166:P166)</f>
        <v>88886</v>
      </c>
      <c r="R166" s="9" t="n">
        <f aca="false">(O166/Q166)*100</f>
        <v>48.0008100263259</v>
      </c>
      <c r="S166" s="9" t="n">
        <f aca="false">(P166/Q166)*100</f>
        <v>51.9991899736741</v>
      </c>
    </row>
    <row r="167" customFormat="false" ht="12.8" hidden="false" customHeight="false" outlineLevel="0" collapsed="false">
      <c r="A167" s="6" t="s">
        <v>86</v>
      </c>
      <c r="B167" s="7" t="s">
        <v>371</v>
      </c>
      <c r="C167" s="6" t="s">
        <v>376</v>
      </c>
      <c r="D167" s="7" t="s">
        <v>377</v>
      </c>
      <c r="E167" s="8" t="n">
        <v>3915</v>
      </c>
      <c r="F167" s="8" t="n">
        <v>4042</v>
      </c>
      <c r="G167" s="8" t="n">
        <v>8166</v>
      </c>
      <c r="H167" s="8" t="n">
        <v>8098</v>
      </c>
      <c r="I167" s="8" t="n">
        <v>4119</v>
      </c>
      <c r="J167" s="8" t="n">
        <v>4810</v>
      </c>
      <c r="K167" s="8" t="n">
        <v>2515</v>
      </c>
      <c r="L167" s="8" t="n">
        <v>4213</v>
      </c>
      <c r="M167" s="8" t="n">
        <v>2789</v>
      </c>
      <c r="N167" s="8" t="n">
        <v>4004</v>
      </c>
      <c r="O167" s="8" t="n">
        <f aca="false">E167+G167+I167+K167+M167</f>
        <v>21504</v>
      </c>
      <c r="P167" s="8" t="n">
        <f aca="false">F167+H167+J167+L167+N167</f>
        <v>25167</v>
      </c>
      <c r="Q167" s="8" t="n">
        <f aca="false">SUM(O167:P167)</f>
        <v>46671</v>
      </c>
      <c r="R167" s="9" t="n">
        <f aca="false">(O167/Q167)*100</f>
        <v>46.0757215401427</v>
      </c>
      <c r="S167" s="9" t="n">
        <f aca="false">(P167/Q167)*100</f>
        <v>53.9242784598573</v>
      </c>
    </row>
    <row r="168" customFormat="false" ht="12.8" hidden="false" customHeight="false" outlineLevel="0" collapsed="false">
      <c r="A168" s="6" t="s">
        <v>88</v>
      </c>
      <c r="B168" s="7" t="s">
        <v>378</v>
      </c>
      <c r="C168" s="6" t="s">
        <v>379</v>
      </c>
      <c r="D168" s="7" t="s">
        <v>380</v>
      </c>
      <c r="E168" s="8" t="n">
        <v>5804</v>
      </c>
      <c r="F168" s="8" t="n">
        <v>7567</v>
      </c>
      <c r="G168" s="8" t="n">
        <v>11485</v>
      </c>
      <c r="H168" s="8" t="n">
        <v>11609</v>
      </c>
      <c r="I168" s="8" t="n">
        <v>6234</v>
      </c>
      <c r="J168" s="8" t="n">
        <v>7364</v>
      </c>
      <c r="K168" s="8" t="n">
        <v>4603</v>
      </c>
      <c r="L168" s="8" t="n">
        <v>6034</v>
      </c>
      <c r="M168" s="8" t="n">
        <v>4815</v>
      </c>
      <c r="N168" s="8" t="n">
        <v>5477</v>
      </c>
      <c r="O168" s="8" t="n">
        <f aca="false">E168+G168+I168+K168+M168</f>
        <v>32941</v>
      </c>
      <c r="P168" s="8" t="n">
        <f aca="false">F168+H168+J168+L168+N168</f>
        <v>38051</v>
      </c>
      <c r="Q168" s="8" t="n">
        <f aca="false">SUM(O168:P168)</f>
        <v>70992</v>
      </c>
      <c r="R168" s="9" t="n">
        <f aca="false">(O168/Q168)*100</f>
        <v>46.4010029299076</v>
      </c>
      <c r="S168" s="9" t="n">
        <f aca="false">(P168/Q168)*100</f>
        <v>53.5989970700924</v>
      </c>
    </row>
    <row r="169" customFormat="false" ht="12.8" hidden="false" customHeight="false" outlineLevel="0" collapsed="false">
      <c r="A169" s="6" t="s">
        <v>88</v>
      </c>
      <c r="B169" s="7" t="s">
        <v>378</v>
      </c>
      <c r="C169" s="6" t="s">
        <v>381</v>
      </c>
      <c r="D169" s="7" t="s">
        <v>382</v>
      </c>
      <c r="E169" s="8" t="n">
        <v>8576</v>
      </c>
      <c r="F169" s="8" t="n">
        <v>10727</v>
      </c>
      <c r="G169" s="8" t="n">
        <v>17025</v>
      </c>
      <c r="H169" s="8" t="n">
        <v>16909</v>
      </c>
      <c r="I169" s="8" t="n">
        <v>9652</v>
      </c>
      <c r="J169" s="8" t="n">
        <v>10498</v>
      </c>
      <c r="K169" s="8" t="n">
        <v>6728</v>
      </c>
      <c r="L169" s="8" t="n">
        <v>9446</v>
      </c>
      <c r="M169" s="8" t="n">
        <v>6687</v>
      </c>
      <c r="N169" s="8" t="n">
        <v>8439</v>
      </c>
      <c r="O169" s="8" t="n">
        <f aca="false">E169+G169+I169+K169+M169</f>
        <v>48668</v>
      </c>
      <c r="P169" s="8" t="n">
        <f aca="false">F169+H169+J169+L169+N169</f>
        <v>56019</v>
      </c>
      <c r="Q169" s="8" t="n">
        <f aca="false">SUM(O169:P169)</f>
        <v>104687</v>
      </c>
      <c r="R169" s="9" t="n">
        <f aca="false">(O169/Q169)*100</f>
        <v>46.4890578581868</v>
      </c>
      <c r="S169" s="9" t="n">
        <f aca="false">(P169/Q169)*100</f>
        <v>53.5109421418132</v>
      </c>
    </row>
    <row r="170" customFormat="false" ht="12.8" hidden="false" customHeight="false" outlineLevel="0" collapsed="false">
      <c r="A170" s="6" t="s">
        <v>88</v>
      </c>
      <c r="B170" s="7" t="s">
        <v>378</v>
      </c>
      <c r="C170" s="6" t="s">
        <v>383</v>
      </c>
      <c r="D170" s="7" t="s">
        <v>384</v>
      </c>
      <c r="E170" s="8" t="n">
        <v>12466</v>
      </c>
      <c r="F170" s="8" t="n">
        <v>13475</v>
      </c>
      <c r="G170" s="8" t="n">
        <v>27398</v>
      </c>
      <c r="H170" s="8" t="n">
        <v>26362</v>
      </c>
      <c r="I170" s="8" t="n">
        <v>15354</v>
      </c>
      <c r="J170" s="8" t="n">
        <v>16908</v>
      </c>
      <c r="K170" s="8" t="n">
        <v>8199</v>
      </c>
      <c r="L170" s="8" t="n">
        <v>8087</v>
      </c>
      <c r="M170" s="8" t="n">
        <v>9192</v>
      </c>
      <c r="N170" s="8" t="n">
        <v>7608</v>
      </c>
      <c r="O170" s="8" t="n">
        <f aca="false">E170+G170+I170+K170+M170</f>
        <v>72609</v>
      </c>
      <c r="P170" s="8" t="n">
        <f aca="false">F170+H170+J170+L170+N170</f>
        <v>72440</v>
      </c>
      <c r="Q170" s="8" t="n">
        <f aca="false">SUM(O170:P170)</f>
        <v>145049</v>
      </c>
      <c r="R170" s="9" t="n">
        <f aca="false">(O170/Q170)*100</f>
        <v>50.0582561754993</v>
      </c>
      <c r="S170" s="9" t="n">
        <f aca="false">(P170/Q170)*100</f>
        <v>49.9417438245007</v>
      </c>
    </row>
    <row r="171" customFormat="false" ht="12.8" hidden="false" customHeight="false" outlineLevel="0" collapsed="false">
      <c r="A171" s="6" t="s">
        <v>88</v>
      </c>
      <c r="B171" s="7" t="s">
        <v>378</v>
      </c>
      <c r="C171" s="6" t="s">
        <v>385</v>
      </c>
      <c r="D171" s="7" t="s">
        <v>386</v>
      </c>
      <c r="E171" s="8" t="n">
        <v>6866</v>
      </c>
      <c r="F171" s="8" t="n">
        <v>7926</v>
      </c>
      <c r="G171" s="8" t="n">
        <v>14018</v>
      </c>
      <c r="H171" s="8" t="n">
        <v>13654</v>
      </c>
      <c r="I171" s="8" t="n">
        <v>8167</v>
      </c>
      <c r="J171" s="8" t="n">
        <v>8776</v>
      </c>
      <c r="K171" s="8" t="n">
        <v>5764</v>
      </c>
      <c r="L171" s="8" t="n">
        <v>7532</v>
      </c>
      <c r="M171" s="8" t="n">
        <v>5678</v>
      </c>
      <c r="N171" s="8" t="n">
        <v>6959</v>
      </c>
      <c r="O171" s="8" t="n">
        <f aca="false">E171+G171+I171+K171+M171</f>
        <v>40493</v>
      </c>
      <c r="P171" s="8" t="n">
        <f aca="false">F171+H171+J171+L171+N171</f>
        <v>44847</v>
      </c>
      <c r="Q171" s="8" t="n">
        <f aca="false">SUM(O171:P171)</f>
        <v>85340</v>
      </c>
      <c r="R171" s="9" t="n">
        <f aca="false">(O171/Q171)*100</f>
        <v>47.4490274197328</v>
      </c>
      <c r="S171" s="9" t="n">
        <f aca="false">(P171/Q171)*100</f>
        <v>52.5509725802672</v>
      </c>
    </row>
    <row r="172" customFormat="false" ht="12.8" hidden="false" customHeight="false" outlineLevel="0" collapsed="false">
      <c r="A172" s="6" t="s">
        <v>88</v>
      </c>
      <c r="B172" s="7" t="s">
        <v>378</v>
      </c>
      <c r="C172" s="6" t="s">
        <v>387</v>
      </c>
      <c r="D172" s="7" t="s">
        <v>388</v>
      </c>
      <c r="E172" s="8" t="n">
        <v>5093</v>
      </c>
      <c r="F172" s="8" t="n">
        <v>6295</v>
      </c>
      <c r="G172" s="8" t="n">
        <v>9004</v>
      </c>
      <c r="H172" s="8" t="n">
        <v>9116</v>
      </c>
      <c r="I172" s="8" t="n">
        <v>5339</v>
      </c>
      <c r="J172" s="8" t="n">
        <v>6253</v>
      </c>
      <c r="K172" s="8" t="n">
        <v>2955</v>
      </c>
      <c r="L172" s="8" t="n">
        <v>4227</v>
      </c>
      <c r="M172" s="8" t="n">
        <v>2935</v>
      </c>
      <c r="N172" s="8" t="n">
        <v>4444</v>
      </c>
      <c r="O172" s="8" t="n">
        <f aca="false">E172+G172+I172+K172+M172</f>
        <v>25326</v>
      </c>
      <c r="P172" s="8" t="n">
        <f aca="false">F172+H172+J172+L172+N172</f>
        <v>30335</v>
      </c>
      <c r="Q172" s="8" t="n">
        <f aca="false">SUM(O172:P172)</f>
        <v>55661</v>
      </c>
      <c r="R172" s="9" t="n">
        <f aca="false">(O172/Q172)*100</f>
        <v>45.5004401645676</v>
      </c>
      <c r="S172" s="9" t="n">
        <f aca="false">(P172/Q172)*100</f>
        <v>54.4995598354324</v>
      </c>
    </row>
    <row r="173" customFormat="false" ht="12.8" hidden="false" customHeight="false" outlineLevel="0" collapsed="false">
      <c r="A173" s="6" t="s">
        <v>88</v>
      </c>
      <c r="B173" s="7" t="s">
        <v>378</v>
      </c>
      <c r="C173" s="6" t="s">
        <v>389</v>
      </c>
      <c r="D173" s="7" t="s">
        <v>390</v>
      </c>
      <c r="E173" s="8" t="n">
        <v>4502</v>
      </c>
      <c r="F173" s="8" t="n">
        <v>6308</v>
      </c>
      <c r="G173" s="8" t="n">
        <v>9796</v>
      </c>
      <c r="H173" s="8" t="n">
        <v>9956</v>
      </c>
      <c r="I173" s="8" t="n">
        <v>5611</v>
      </c>
      <c r="J173" s="8" t="n">
        <v>6509</v>
      </c>
      <c r="K173" s="8" t="n">
        <v>3865</v>
      </c>
      <c r="L173" s="8" t="n">
        <v>5398</v>
      </c>
      <c r="M173" s="8" t="n">
        <v>3905</v>
      </c>
      <c r="N173" s="8" t="n">
        <v>5494</v>
      </c>
      <c r="O173" s="8" t="n">
        <f aca="false">E173+G173+I173+K173+M173</f>
        <v>27679</v>
      </c>
      <c r="P173" s="8" t="n">
        <f aca="false">F173+H173+J173+L173+N173</f>
        <v>33665</v>
      </c>
      <c r="Q173" s="8" t="n">
        <f aca="false">SUM(O173:P173)</f>
        <v>61344</v>
      </c>
      <c r="R173" s="9" t="n">
        <f aca="false">(O173/Q173)*100</f>
        <v>45.1209572248305</v>
      </c>
      <c r="S173" s="9" t="n">
        <f aca="false">(P173/Q173)*100</f>
        <v>54.8790427751695</v>
      </c>
    </row>
    <row r="174" customFormat="false" ht="12.8" hidden="false" customHeight="false" outlineLevel="0" collapsed="false">
      <c r="A174" s="6" t="s">
        <v>88</v>
      </c>
      <c r="B174" s="7" t="s">
        <v>378</v>
      </c>
      <c r="C174" s="6" t="s">
        <v>391</v>
      </c>
      <c r="D174" s="7" t="s">
        <v>392</v>
      </c>
      <c r="E174" s="8" t="n">
        <v>3775</v>
      </c>
      <c r="F174" s="8" t="n">
        <v>5208</v>
      </c>
      <c r="G174" s="8" t="n">
        <v>7141</v>
      </c>
      <c r="H174" s="8" t="n">
        <v>6875</v>
      </c>
      <c r="I174" s="8" t="n">
        <v>4702</v>
      </c>
      <c r="J174" s="8" t="n">
        <v>4736</v>
      </c>
      <c r="K174" s="8" t="n">
        <v>3958</v>
      </c>
      <c r="L174" s="8" t="n">
        <v>6239</v>
      </c>
      <c r="M174" s="8" t="n">
        <v>3742</v>
      </c>
      <c r="N174" s="8" t="n">
        <v>5206</v>
      </c>
      <c r="O174" s="8" t="n">
        <f aca="false">E174+G174+I174+K174+M174</f>
        <v>23318</v>
      </c>
      <c r="P174" s="8" t="n">
        <f aca="false">F174+H174+J174+L174+N174</f>
        <v>28264</v>
      </c>
      <c r="Q174" s="8" t="n">
        <f aca="false">SUM(O174:P174)</f>
        <v>51582</v>
      </c>
      <c r="R174" s="9" t="n">
        <f aca="false">(O174/Q174)*100</f>
        <v>45.2056919080299</v>
      </c>
      <c r="S174" s="9" t="n">
        <f aca="false">(P174/Q174)*100</f>
        <v>54.7943080919701</v>
      </c>
    </row>
    <row r="175" customFormat="false" ht="12.8" hidden="false" customHeight="false" outlineLevel="0" collapsed="false">
      <c r="A175" s="6" t="s">
        <v>88</v>
      </c>
      <c r="B175" s="7" t="s">
        <v>378</v>
      </c>
      <c r="C175" s="6" t="s">
        <v>393</v>
      </c>
      <c r="D175" s="7" t="s">
        <v>394</v>
      </c>
      <c r="E175" s="8" t="n">
        <v>6777</v>
      </c>
      <c r="F175" s="8" t="n">
        <v>8487</v>
      </c>
      <c r="G175" s="8" t="n">
        <v>12023</v>
      </c>
      <c r="H175" s="8" t="n">
        <v>12776</v>
      </c>
      <c r="I175" s="8" t="n">
        <v>6986</v>
      </c>
      <c r="J175" s="8" t="n">
        <v>7848</v>
      </c>
      <c r="K175" s="8" t="n">
        <v>4751</v>
      </c>
      <c r="L175" s="8" t="n">
        <v>6494</v>
      </c>
      <c r="M175" s="8" t="n">
        <v>4839</v>
      </c>
      <c r="N175" s="8" t="n">
        <v>6181</v>
      </c>
      <c r="O175" s="8" t="n">
        <f aca="false">E175+G175+I175+K175+M175</f>
        <v>35376</v>
      </c>
      <c r="P175" s="8" t="n">
        <f aca="false">F175+H175+J175+L175+N175</f>
        <v>41786</v>
      </c>
      <c r="Q175" s="8" t="n">
        <f aca="false">SUM(O175:P175)</f>
        <v>77162</v>
      </c>
      <c r="R175" s="9" t="n">
        <f aca="false">(O175/Q175)*100</f>
        <v>45.846401078251</v>
      </c>
      <c r="S175" s="9" t="n">
        <f aca="false">(P175/Q175)*100</f>
        <v>54.153598921749</v>
      </c>
    </row>
    <row r="176" customFormat="false" ht="12.8" hidden="false" customHeight="false" outlineLevel="0" collapsed="false">
      <c r="A176" s="6" t="s">
        <v>88</v>
      </c>
      <c r="B176" s="7" t="s">
        <v>378</v>
      </c>
      <c r="C176" s="6" t="s">
        <v>395</v>
      </c>
      <c r="D176" s="7" t="s">
        <v>396</v>
      </c>
      <c r="E176" s="8" t="n">
        <v>8162</v>
      </c>
      <c r="F176" s="8" t="n">
        <v>8790</v>
      </c>
      <c r="G176" s="8" t="n">
        <v>14838</v>
      </c>
      <c r="H176" s="8" t="n">
        <v>12883</v>
      </c>
      <c r="I176" s="8" t="n">
        <v>8496</v>
      </c>
      <c r="J176" s="8" t="n">
        <v>8444</v>
      </c>
      <c r="K176" s="8" t="n">
        <v>6269</v>
      </c>
      <c r="L176" s="8" t="n">
        <v>7400</v>
      </c>
      <c r="M176" s="8" t="n">
        <v>5850</v>
      </c>
      <c r="N176" s="8" t="n">
        <v>6376</v>
      </c>
      <c r="O176" s="8" t="n">
        <f aca="false">E176+G176+I176+K176+M176</f>
        <v>43615</v>
      </c>
      <c r="P176" s="8" t="n">
        <f aca="false">F176+H176+J176+L176+N176</f>
        <v>43893</v>
      </c>
      <c r="Q176" s="8" t="n">
        <f aca="false">SUM(O176:P176)</f>
        <v>87508</v>
      </c>
      <c r="R176" s="9" t="n">
        <f aca="false">(O176/Q176)*100</f>
        <v>49.8411573798967</v>
      </c>
      <c r="S176" s="9" t="n">
        <f aca="false">(P176/Q176)*100</f>
        <v>50.1588426201033</v>
      </c>
    </row>
    <row r="177" customFormat="false" ht="12.8" hidden="false" customHeight="false" outlineLevel="0" collapsed="false">
      <c r="A177" s="6" t="s">
        <v>88</v>
      </c>
      <c r="B177" s="7" t="s">
        <v>378</v>
      </c>
      <c r="C177" s="6" t="s">
        <v>397</v>
      </c>
      <c r="D177" s="7" t="s">
        <v>398</v>
      </c>
      <c r="E177" s="8" t="n">
        <v>9217</v>
      </c>
      <c r="F177" s="8" t="n">
        <v>10428</v>
      </c>
      <c r="G177" s="8" t="n">
        <v>19030</v>
      </c>
      <c r="H177" s="8" t="n">
        <v>21201</v>
      </c>
      <c r="I177" s="8" t="n">
        <v>8344</v>
      </c>
      <c r="J177" s="8" t="n">
        <v>11820</v>
      </c>
      <c r="K177" s="8" t="n">
        <v>4306</v>
      </c>
      <c r="L177" s="8" t="n">
        <v>2773</v>
      </c>
      <c r="M177" s="8" t="n">
        <v>6193</v>
      </c>
      <c r="N177" s="8" t="n">
        <v>4237</v>
      </c>
      <c r="O177" s="8" t="n">
        <f aca="false">E177+G177+I177+K177+M177</f>
        <v>47090</v>
      </c>
      <c r="P177" s="8" t="n">
        <f aca="false">F177+H177+J177+L177+N177</f>
        <v>50459</v>
      </c>
      <c r="Q177" s="8" t="n">
        <f aca="false">SUM(O177:P177)</f>
        <v>97549</v>
      </c>
      <c r="R177" s="9" t="n">
        <f aca="false">(O177/Q177)*100</f>
        <v>48.2731755322966</v>
      </c>
      <c r="S177" s="9" t="n">
        <f aca="false">(P177/Q177)*100</f>
        <v>51.7268244677034</v>
      </c>
    </row>
    <row r="178" customFormat="false" ht="12.8" hidden="false" customHeight="false" outlineLevel="0" collapsed="false">
      <c r="A178" s="6" t="s">
        <v>88</v>
      </c>
      <c r="B178" s="7" t="s">
        <v>378</v>
      </c>
      <c r="C178" s="6" t="s">
        <v>399</v>
      </c>
      <c r="D178" s="7" t="s">
        <v>400</v>
      </c>
      <c r="E178" s="8" t="n">
        <v>10064</v>
      </c>
      <c r="F178" s="8" t="n">
        <v>9659</v>
      </c>
      <c r="G178" s="8" t="n">
        <v>22776</v>
      </c>
      <c r="H178" s="8" t="n">
        <v>21483</v>
      </c>
      <c r="I178" s="8" t="n">
        <v>12216</v>
      </c>
      <c r="J178" s="8" t="n">
        <v>13080</v>
      </c>
      <c r="K178" s="8" t="n">
        <v>6709</v>
      </c>
      <c r="L178" s="8" t="n">
        <v>4676</v>
      </c>
      <c r="M178" s="8" t="n">
        <v>7092</v>
      </c>
      <c r="N178" s="8" t="n">
        <v>4989</v>
      </c>
      <c r="O178" s="8" t="n">
        <f aca="false">E178+G178+I178+K178+M178</f>
        <v>58857</v>
      </c>
      <c r="P178" s="8" t="n">
        <f aca="false">F178+H178+J178+L178+N178</f>
        <v>53887</v>
      </c>
      <c r="Q178" s="8" t="n">
        <f aca="false">SUM(O178:P178)</f>
        <v>112744</v>
      </c>
      <c r="R178" s="9" t="n">
        <f aca="false">(O178/Q178)*100</f>
        <v>52.2041084226212</v>
      </c>
      <c r="S178" s="9" t="n">
        <f aca="false">(P178/Q178)*100</f>
        <v>47.7958915773788</v>
      </c>
    </row>
    <row r="179" customFormat="false" ht="12.8" hidden="false" customHeight="false" outlineLevel="0" collapsed="false">
      <c r="A179" s="6" t="s">
        <v>91</v>
      </c>
      <c r="B179" s="7" t="s">
        <v>401</v>
      </c>
      <c r="C179" s="6" t="s">
        <v>402</v>
      </c>
      <c r="D179" s="7" t="s">
        <v>403</v>
      </c>
      <c r="E179" s="8" t="n">
        <v>4844</v>
      </c>
      <c r="F179" s="8" t="n">
        <v>6835</v>
      </c>
      <c r="G179" s="8" t="n">
        <v>12590</v>
      </c>
      <c r="H179" s="8" t="n">
        <v>12247</v>
      </c>
      <c r="I179" s="8" t="n">
        <v>6862</v>
      </c>
      <c r="J179" s="8" t="n">
        <v>7231</v>
      </c>
      <c r="K179" s="8" t="n">
        <v>3547</v>
      </c>
      <c r="L179" s="8" t="n">
        <v>4778</v>
      </c>
      <c r="M179" s="8" t="n">
        <v>3707</v>
      </c>
      <c r="N179" s="8" t="n">
        <v>4438</v>
      </c>
      <c r="O179" s="8" t="n">
        <f aca="false">E179+G179+I179+K179+M179</f>
        <v>31550</v>
      </c>
      <c r="P179" s="8" t="n">
        <f aca="false">F179+H179+J179+L179+N179</f>
        <v>35529</v>
      </c>
      <c r="Q179" s="8" t="n">
        <f aca="false">SUM(O179:P179)</f>
        <v>67079</v>
      </c>
      <c r="R179" s="9" t="n">
        <f aca="false">(O179/Q179)*100</f>
        <v>47.0340941278194</v>
      </c>
      <c r="S179" s="9" t="n">
        <f aca="false">(P179/Q179)*100</f>
        <v>52.9659058721806</v>
      </c>
    </row>
    <row r="180" customFormat="false" ht="12.8" hidden="false" customHeight="false" outlineLevel="0" collapsed="false">
      <c r="A180" s="6" t="s">
        <v>91</v>
      </c>
      <c r="B180" s="7" t="s">
        <v>401</v>
      </c>
      <c r="C180" s="6" t="s">
        <v>404</v>
      </c>
      <c r="D180" s="7" t="s">
        <v>405</v>
      </c>
      <c r="E180" s="8" t="n">
        <v>2412</v>
      </c>
      <c r="F180" s="8" t="n">
        <v>3004</v>
      </c>
      <c r="G180" s="8" t="n">
        <v>7163</v>
      </c>
      <c r="H180" s="8" t="n">
        <v>6251</v>
      </c>
      <c r="I180" s="8" t="n">
        <v>3154</v>
      </c>
      <c r="J180" s="8" t="n">
        <v>3562</v>
      </c>
      <c r="K180" s="8" t="n">
        <v>1834</v>
      </c>
      <c r="L180" s="8" t="n">
        <v>3546</v>
      </c>
      <c r="M180" s="8" t="n">
        <v>1703</v>
      </c>
      <c r="N180" s="8" t="n">
        <v>2902</v>
      </c>
      <c r="O180" s="8" t="n">
        <f aca="false">E180+G180+I180+K180+M180</f>
        <v>16266</v>
      </c>
      <c r="P180" s="8" t="n">
        <f aca="false">F180+H180+J180+L180+N180</f>
        <v>19265</v>
      </c>
      <c r="Q180" s="8" t="n">
        <f aca="false">SUM(O180:P180)</f>
        <v>35531</v>
      </c>
      <c r="R180" s="9" t="n">
        <f aca="false">(O180/Q180)*100</f>
        <v>45.779741634066</v>
      </c>
      <c r="S180" s="9" t="n">
        <f aca="false">(P180/Q180)*100</f>
        <v>54.220258365934</v>
      </c>
    </row>
    <row r="181" customFormat="false" ht="12.8" hidden="false" customHeight="false" outlineLevel="0" collapsed="false">
      <c r="A181" s="6" t="s">
        <v>91</v>
      </c>
      <c r="B181" s="7" t="s">
        <v>401</v>
      </c>
      <c r="C181" s="6" t="s">
        <v>406</v>
      </c>
      <c r="D181" s="7" t="s">
        <v>407</v>
      </c>
      <c r="E181" s="8" t="n">
        <v>5808</v>
      </c>
      <c r="F181" s="8" t="n">
        <v>7596</v>
      </c>
      <c r="G181" s="8" t="n">
        <v>14058</v>
      </c>
      <c r="H181" s="8" t="n">
        <v>15210</v>
      </c>
      <c r="I181" s="8" t="n">
        <v>7544</v>
      </c>
      <c r="J181" s="8" t="n">
        <v>8675</v>
      </c>
      <c r="K181" s="8" t="n">
        <v>4644</v>
      </c>
      <c r="L181" s="8" t="n">
        <v>4875</v>
      </c>
      <c r="M181" s="8" t="n">
        <v>4912</v>
      </c>
      <c r="N181" s="8" t="n">
        <v>5058</v>
      </c>
      <c r="O181" s="8" t="n">
        <f aca="false">E181+G181+I181+K181+M181</f>
        <v>36966</v>
      </c>
      <c r="P181" s="8" t="n">
        <f aca="false">F181+H181+J181+L181+N181</f>
        <v>41414</v>
      </c>
      <c r="Q181" s="8" t="n">
        <f aca="false">SUM(O181:P181)</f>
        <v>78380</v>
      </c>
      <c r="R181" s="9" t="n">
        <f aca="false">(O181/Q181)*100</f>
        <v>47.1625414646594</v>
      </c>
      <c r="S181" s="9" t="n">
        <f aca="false">(P181/Q181)*100</f>
        <v>52.8374585353407</v>
      </c>
    </row>
    <row r="182" customFormat="false" ht="12.8" hidden="false" customHeight="false" outlineLevel="0" collapsed="false">
      <c r="A182" s="6" t="s">
        <v>91</v>
      </c>
      <c r="B182" s="7" t="s">
        <v>401</v>
      </c>
      <c r="C182" s="6" t="s">
        <v>408</v>
      </c>
      <c r="D182" s="7" t="s">
        <v>409</v>
      </c>
      <c r="E182" s="8" t="n">
        <v>3373</v>
      </c>
      <c r="F182" s="8" t="n">
        <v>4041</v>
      </c>
      <c r="G182" s="8" t="n">
        <v>7100</v>
      </c>
      <c r="H182" s="8" t="n">
        <v>6968</v>
      </c>
      <c r="I182" s="8" t="n">
        <v>3615</v>
      </c>
      <c r="J182" s="8" t="n">
        <v>4379</v>
      </c>
      <c r="K182" s="8" t="n">
        <v>2226</v>
      </c>
      <c r="L182" s="8" t="n">
        <v>2755</v>
      </c>
      <c r="M182" s="8" t="n">
        <v>2385</v>
      </c>
      <c r="N182" s="8" t="n">
        <v>2717</v>
      </c>
      <c r="O182" s="8" t="n">
        <f aca="false">E182+G182+I182+K182+M182</f>
        <v>18699</v>
      </c>
      <c r="P182" s="8" t="n">
        <f aca="false">F182+H182+J182+L182+N182</f>
        <v>20860</v>
      </c>
      <c r="Q182" s="8" t="n">
        <f aca="false">SUM(O182:P182)</f>
        <v>39559</v>
      </c>
      <c r="R182" s="9" t="n">
        <f aca="false">(O182/Q182)*100</f>
        <v>47.2686367198362</v>
      </c>
      <c r="S182" s="9" t="n">
        <f aca="false">(P182/Q182)*100</f>
        <v>52.7313632801638</v>
      </c>
    </row>
    <row r="183" customFormat="false" ht="12.8" hidden="false" customHeight="false" outlineLevel="0" collapsed="false">
      <c r="A183" s="6" t="s">
        <v>91</v>
      </c>
      <c r="B183" s="7" t="s">
        <v>401</v>
      </c>
      <c r="C183" s="6" t="s">
        <v>410</v>
      </c>
      <c r="D183" s="7" t="s">
        <v>411</v>
      </c>
      <c r="E183" s="8" t="n">
        <v>4281</v>
      </c>
      <c r="F183" s="8" t="n">
        <v>6071</v>
      </c>
      <c r="G183" s="8" t="n">
        <v>11936</v>
      </c>
      <c r="H183" s="8" t="n">
        <v>12336</v>
      </c>
      <c r="I183" s="8" t="n">
        <v>6250</v>
      </c>
      <c r="J183" s="8" t="n">
        <v>6711</v>
      </c>
      <c r="K183" s="8" t="n">
        <v>4185</v>
      </c>
      <c r="L183" s="8" t="n">
        <v>4899</v>
      </c>
      <c r="M183" s="8" t="n">
        <v>4059</v>
      </c>
      <c r="N183" s="8" t="n">
        <v>5044</v>
      </c>
      <c r="O183" s="8" t="n">
        <f aca="false">E183+G183+I183+K183+M183</f>
        <v>30711</v>
      </c>
      <c r="P183" s="8" t="n">
        <f aca="false">F183+H183+J183+L183+N183</f>
        <v>35061</v>
      </c>
      <c r="Q183" s="8" t="n">
        <f aca="false">SUM(O183:P183)</f>
        <v>65772</v>
      </c>
      <c r="R183" s="9" t="n">
        <f aca="false">(O183/Q183)*100</f>
        <v>46.6931216931217</v>
      </c>
      <c r="S183" s="9" t="n">
        <f aca="false">(P183/Q183)*100</f>
        <v>53.3068783068783</v>
      </c>
    </row>
    <row r="184" customFormat="false" ht="12.8" hidden="false" customHeight="false" outlineLevel="0" collapsed="false">
      <c r="A184" s="6" t="s">
        <v>91</v>
      </c>
      <c r="B184" s="7" t="s">
        <v>401</v>
      </c>
      <c r="C184" s="6" t="s">
        <v>412</v>
      </c>
      <c r="D184" s="7" t="s">
        <v>413</v>
      </c>
      <c r="E184" s="8" t="n">
        <v>3969</v>
      </c>
      <c r="F184" s="8" t="n">
        <v>4431</v>
      </c>
      <c r="G184" s="8" t="n">
        <v>11674</v>
      </c>
      <c r="H184" s="8" t="n">
        <v>10563</v>
      </c>
      <c r="I184" s="8" t="n">
        <v>5230</v>
      </c>
      <c r="J184" s="8" t="n">
        <v>5509</v>
      </c>
      <c r="K184" s="8" t="n">
        <v>3072</v>
      </c>
      <c r="L184" s="8" t="n">
        <v>4099</v>
      </c>
      <c r="M184" s="8" t="n">
        <v>3277</v>
      </c>
      <c r="N184" s="8" t="n">
        <v>3585</v>
      </c>
      <c r="O184" s="8" t="n">
        <f aca="false">E184+G184+I184+K184+M184</f>
        <v>27222</v>
      </c>
      <c r="P184" s="8" t="n">
        <f aca="false">F184+H184+J184+L184+N184</f>
        <v>28187</v>
      </c>
      <c r="Q184" s="8" t="n">
        <f aca="false">SUM(O184:P184)</f>
        <v>55409</v>
      </c>
      <c r="R184" s="9" t="n">
        <f aca="false">(O184/Q184)*100</f>
        <v>49.1292028370842</v>
      </c>
      <c r="S184" s="9" t="n">
        <f aca="false">(P184/Q184)*100</f>
        <v>50.8707971629158</v>
      </c>
    </row>
    <row r="185" customFormat="false" ht="12.8" hidden="false" customHeight="false" outlineLevel="0" collapsed="false">
      <c r="A185" s="6" t="s">
        <v>93</v>
      </c>
      <c r="B185" s="7" t="s">
        <v>414</v>
      </c>
      <c r="C185" s="6" t="s">
        <v>415</v>
      </c>
      <c r="D185" s="7" t="s">
        <v>416</v>
      </c>
      <c r="E185" s="8" t="n">
        <v>9838</v>
      </c>
      <c r="F185" s="8" t="n">
        <v>10501</v>
      </c>
      <c r="G185" s="8" t="n">
        <v>25625</v>
      </c>
      <c r="H185" s="8" t="n">
        <v>25955</v>
      </c>
      <c r="I185" s="8" t="n">
        <v>14055</v>
      </c>
      <c r="J185" s="8" t="n">
        <v>15640</v>
      </c>
      <c r="K185" s="8" t="n">
        <v>6883</v>
      </c>
      <c r="L185" s="8" t="n">
        <v>5162</v>
      </c>
      <c r="M185" s="8" t="n">
        <v>8435</v>
      </c>
      <c r="N185" s="8" t="n">
        <v>5859</v>
      </c>
      <c r="O185" s="8" t="n">
        <f aca="false">E185+G185+I185+K185+M185</f>
        <v>64836</v>
      </c>
      <c r="P185" s="8" t="n">
        <f aca="false">F185+H185+J185+L185+N185</f>
        <v>63117</v>
      </c>
      <c r="Q185" s="8" t="n">
        <f aca="false">SUM(O185:P185)</f>
        <v>127953</v>
      </c>
      <c r="R185" s="9" t="n">
        <f aca="false">(O185/Q185)*100</f>
        <v>50.6717310262362</v>
      </c>
      <c r="S185" s="9" t="n">
        <f aca="false">(P185/Q185)*100</f>
        <v>49.3282689737638</v>
      </c>
    </row>
    <row r="186" customFormat="false" ht="12.8" hidden="false" customHeight="false" outlineLevel="0" collapsed="false">
      <c r="A186" s="6" t="s">
        <v>93</v>
      </c>
      <c r="B186" s="7" t="s">
        <v>414</v>
      </c>
      <c r="C186" s="6" t="s">
        <v>417</v>
      </c>
      <c r="D186" s="7" t="s">
        <v>418</v>
      </c>
      <c r="E186" s="8" t="n">
        <v>4722</v>
      </c>
      <c r="F186" s="8" t="n">
        <v>5189</v>
      </c>
      <c r="G186" s="8" t="n">
        <v>10284</v>
      </c>
      <c r="H186" s="8" t="n">
        <v>10948</v>
      </c>
      <c r="I186" s="8" t="n">
        <v>5241</v>
      </c>
      <c r="J186" s="8" t="n">
        <v>5626</v>
      </c>
      <c r="K186" s="8" t="n">
        <v>3535</v>
      </c>
      <c r="L186" s="8" t="n">
        <v>3747</v>
      </c>
      <c r="M186" s="8" t="n">
        <v>3576</v>
      </c>
      <c r="N186" s="8" t="n">
        <v>3566</v>
      </c>
      <c r="O186" s="8" t="n">
        <f aca="false">E186+G186+I186+K186+M186</f>
        <v>27358</v>
      </c>
      <c r="P186" s="8" t="n">
        <f aca="false">F186+H186+J186+L186+N186</f>
        <v>29076</v>
      </c>
      <c r="Q186" s="8" t="n">
        <f aca="false">SUM(O186:P186)</f>
        <v>56434</v>
      </c>
      <c r="R186" s="9" t="n">
        <f aca="false">(O186/Q186)*100</f>
        <v>48.4778679519439</v>
      </c>
      <c r="S186" s="9" t="n">
        <f aca="false">(P186/Q186)*100</f>
        <v>51.5221320480561</v>
      </c>
    </row>
    <row r="187" customFormat="false" ht="12.8" hidden="false" customHeight="false" outlineLevel="0" collapsed="false">
      <c r="A187" s="6" t="s">
        <v>93</v>
      </c>
      <c r="B187" s="7" t="s">
        <v>414</v>
      </c>
      <c r="C187" s="6" t="s">
        <v>419</v>
      </c>
      <c r="D187" s="7" t="s">
        <v>420</v>
      </c>
      <c r="E187" s="8" t="n">
        <v>8604</v>
      </c>
      <c r="F187" s="8" t="n">
        <v>9630</v>
      </c>
      <c r="G187" s="8" t="n">
        <v>21328</v>
      </c>
      <c r="H187" s="8" t="n">
        <v>23867</v>
      </c>
      <c r="I187" s="8" t="n">
        <v>9788</v>
      </c>
      <c r="J187" s="8" t="n">
        <v>12874</v>
      </c>
      <c r="K187" s="8" t="n">
        <v>4081</v>
      </c>
      <c r="L187" s="8" t="n">
        <v>3345</v>
      </c>
      <c r="M187" s="8" t="n">
        <v>5558</v>
      </c>
      <c r="N187" s="8" t="n">
        <v>3729</v>
      </c>
      <c r="O187" s="8" t="n">
        <f aca="false">E187+G187+I187+K187+M187</f>
        <v>49359</v>
      </c>
      <c r="P187" s="8" t="n">
        <f aca="false">F187+H187+J187+L187+N187</f>
        <v>53445</v>
      </c>
      <c r="Q187" s="8" t="n">
        <f aca="false">SUM(O187:P187)</f>
        <v>102804</v>
      </c>
      <c r="R187" s="9" t="n">
        <f aca="false">(O187/Q187)*100</f>
        <v>48.0127232403408</v>
      </c>
      <c r="S187" s="9" t="n">
        <f aca="false">(P187/Q187)*100</f>
        <v>51.9872767596592</v>
      </c>
    </row>
    <row r="188" customFormat="false" ht="12.8" hidden="false" customHeight="false" outlineLevel="0" collapsed="false">
      <c r="A188" s="6" t="s">
        <v>93</v>
      </c>
      <c r="B188" s="7" t="s">
        <v>414</v>
      </c>
      <c r="C188" s="6" t="s">
        <v>421</v>
      </c>
      <c r="D188" s="7" t="s">
        <v>422</v>
      </c>
      <c r="E188" s="8" t="n">
        <v>5243</v>
      </c>
      <c r="F188" s="8" t="n">
        <v>6265</v>
      </c>
      <c r="G188" s="8" t="n">
        <v>11147</v>
      </c>
      <c r="H188" s="8" t="n">
        <v>11782</v>
      </c>
      <c r="I188" s="8" t="n">
        <v>6133</v>
      </c>
      <c r="J188" s="8" t="n">
        <v>6617</v>
      </c>
      <c r="K188" s="8" t="n">
        <v>3987</v>
      </c>
      <c r="L188" s="8" t="n">
        <v>4396</v>
      </c>
      <c r="M188" s="8" t="n">
        <v>4199</v>
      </c>
      <c r="N188" s="8" t="n">
        <v>4257</v>
      </c>
      <c r="O188" s="8" t="n">
        <f aca="false">E188+G188+I188+K188+M188</f>
        <v>30709</v>
      </c>
      <c r="P188" s="8" t="n">
        <f aca="false">F188+H188+J188+L188+N188</f>
        <v>33317</v>
      </c>
      <c r="Q188" s="8" t="n">
        <f aca="false">SUM(O188:P188)</f>
        <v>64026</v>
      </c>
      <c r="R188" s="9" t="n">
        <f aca="false">(O188/Q188)*100</f>
        <v>47.9633273982445</v>
      </c>
      <c r="S188" s="9" t="n">
        <f aca="false">(P188/Q188)*100</f>
        <v>52.0366726017555</v>
      </c>
    </row>
    <row r="189" customFormat="false" ht="12.8" hidden="false" customHeight="false" outlineLevel="0" collapsed="false">
      <c r="A189" s="6" t="s">
        <v>93</v>
      </c>
      <c r="B189" s="7" t="s">
        <v>414</v>
      </c>
      <c r="C189" s="6" t="s">
        <v>423</v>
      </c>
      <c r="D189" s="7" t="s">
        <v>424</v>
      </c>
      <c r="E189" s="8" t="n">
        <v>3104</v>
      </c>
      <c r="F189" s="8" t="n">
        <v>4114</v>
      </c>
      <c r="G189" s="8" t="n">
        <v>11936</v>
      </c>
      <c r="H189" s="8" t="n">
        <v>11688</v>
      </c>
      <c r="I189" s="8" t="n">
        <v>5847</v>
      </c>
      <c r="J189" s="8" t="n">
        <v>6199</v>
      </c>
      <c r="K189" s="8" t="n">
        <v>3938</v>
      </c>
      <c r="L189" s="8" t="n">
        <v>4799</v>
      </c>
      <c r="M189" s="8" t="n">
        <v>4038</v>
      </c>
      <c r="N189" s="8" t="n">
        <v>4313</v>
      </c>
      <c r="O189" s="8" t="n">
        <f aca="false">E189+G189+I189+K189+M189</f>
        <v>28863</v>
      </c>
      <c r="P189" s="8" t="n">
        <f aca="false">F189+H189+J189+L189+N189</f>
        <v>31113</v>
      </c>
      <c r="Q189" s="8" t="n">
        <f aca="false">SUM(O189:P189)</f>
        <v>59976</v>
      </c>
      <c r="R189" s="9" t="n">
        <f aca="false">(O189/Q189)*100</f>
        <v>48.12424969988</v>
      </c>
      <c r="S189" s="9" t="n">
        <f aca="false">(P189/Q189)*100</f>
        <v>51.87575030012</v>
      </c>
    </row>
    <row r="190" customFormat="false" ht="12.8" hidden="false" customHeight="false" outlineLevel="0" collapsed="false">
      <c r="A190" s="6" t="s">
        <v>95</v>
      </c>
      <c r="B190" s="7" t="s">
        <v>425</v>
      </c>
      <c r="C190" s="6" t="s">
        <v>426</v>
      </c>
      <c r="D190" s="7" t="s">
        <v>427</v>
      </c>
      <c r="E190" s="8" t="n">
        <v>4815</v>
      </c>
      <c r="F190" s="8" t="n">
        <v>5858</v>
      </c>
      <c r="G190" s="8" t="n">
        <v>9299</v>
      </c>
      <c r="H190" s="8" t="n">
        <v>9184</v>
      </c>
      <c r="I190" s="8" t="n">
        <v>5165</v>
      </c>
      <c r="J190" s="8" t="n">
        <v>6033</v>
      </c>
      <c r="K190" s="8" t="n">
        <v>3216</v>
      </c>
      <c r="L190" s="8" t="n">
        <v>5129</v>
      </c>
      <c r="M190" s="8" t="n">
        <v>3202</v>
      </c>
      <c r="N190" s="8" t="n">
        <v>4585</v>
      </c>
      <c r="O190" s="8" t="n">
        <f aca="false">E190+G190+I190+K190+M190</f>
        <v>25697</v>
      </c>
      <c r="P190" s="8" t="n">
        <f aca="false">F190+H190+J190+L190+N190</f>
        <v>30789</v>
      </c>
      <c r="Q190" s="8" t="n">
        <f aca="false">SUM(O190:P190)</f>
        <v>56486</v>
      </c>
      <c r="R190" s="9" t="n">
        <f aca="false">(O190/Q190)*100</f>
        <v>45.4926884537762</v>
      </c>
      <c r="S190" s="9" t="n">
        <f aca="false">(P190/Q190)*100</f>
        <v>54.5073115462238</v>
      </c>
    </row>
    <row r="191" customFormat="false" ht="12.8" hidden="false" customHeight="false" outlineLevel="0" collapsed="false">
      <c r="A191" s="6" t="s">
        <v>95</v>
      </c>
      <c r="B191" s="7" t="s">
        <v>425</v>
      </c>
      <c r="C191" s="6" t="s">
        <v>428</v>
      </c>
      <c r="D191" s="7" t="s">
        <v>429</v>
      </c>
      <c r="E191" s="8" t="n">
        <v>4497</v>
      </c>
      <c r="F191" s="8" t="n">
        <v>5324</v>
      </c>
      <c r="G191" s="8" t="n">
        <v>7375</v>
      </c>
      <c r="H191" s="8" t="n">
        <v>7615</v>
      </c>
      <c r="I191" s="8" t="n">
        <v>3798</v>
      </c>
      <c r="J191" s="8" t="n">
        <v>4391</v>
      </c>
      <c r="K191" s="8" t="n">
        <v>2505</v>
      </c>
      <c r="L191" s="8" t="n">
        <v>4428</v>
      </c>
      <c r="M191" s="8" t="n">
        <v>2478</v>
      </c>
      <c r="N191" s="8" t="n">
        <v>4101</v>
      </c>
      <c r="O191" s="8" t="n">
        <f aca="false">E191+G191+I191+K191+M191</f>
        <v>20653</v>
      </c>
      <c r="P191" s="8" t="n">
        <f aca="false">F191+H191+J191+L191+N191</f>
        <v>25859</v>
      </c>
      <c r="Q191" s="8" t="n">
        <f aca="false">SUM(O191:P191)</f>
        <v>46512</v>
      </c>
      <c r="R191" s="9" t="n">
        <f aca="false">(O191/Q191)*100</f>
        <v>44.4035947712418</v>
      </c>
      <c r="S191" s="9" t="n">
        <f aca="false">(P191/Q191)*100</f>
        <v>55.5964052287582</v>
      </c>
    </row>
    <row r="192" customFormat="false" ht="12.8" hidden="false" customHeight="false" outlineLevel="0" collapsed="false">
      <c r="A192" s="6" t="s">
        <v>95</v>
      </c>
      <c r="B192" s="7" t="s">
        <v>425</v>
      </c>
      <c r="C192" s="6" t="s">
        <v>430</v>
      </c>
      <c r="D192" s="7" t="s">
        <v>431</v>
      </c>
      <c r="E192" s="8" t="n">
        <v>6279</v>
      </c>
      <c r="F192" s="8" t="n">
        <v>7534</v>
      </c>
      <c r="G192" s="8" t="n">
        <v>13109</v>
      </c>
      <c r="H192" s="8" t="n">
        <v>14093</v>
      </c>
      <c r="I192" s="8" t="n">
        <v>6715</v>
      </c>
      <c r="J192" s="8" t="n">
        <v>8514</v>
      </c>
      <c r="K192" s="8" t="n">
        <v>3897</v>
      </c>
      <c r="L192" s="8" t="n">
        <v>5468</v>
      </c>
      <c r="M192" s="8" t="n">
        <v>4289</v>
      </c>
      <c r="N192" s="8" t="n">
        <v>5623</v>
      </c>
      <c r="O192" s="8" t="n">
        <f aca="false">E192+G192+I192+K192+M192</f>
        <v>34289</v>
      </c>
      <c r="P192" s="8" t="n">
        <f aca="false">F192+H192+J192+L192+N192</f>
        <v>41232</v>
      </c>
      <c r="Q192" s="8" t="n">
        <f aca="false">SUM(O192:P192)</f>
        <v>75521</v>
      </c>
      <c r="R192" s="9" t="n">
        <f aca="false">(O192/Q192)*100</f>
        <v>45.4032653169317</v>
      </c>
      <c r="S192" s="9" t="n">
        <f aca="false">(P192/Q192)*100</f>
        <v>54.5967346830683</v>
      </c>
    </row>
    <row r="193" customFormat="false" ht="12.8" hidden="false" customHeight="false" outlineLevel="0" collapsed="false">
      <c r="A193" s="6" t="s">
        <v>95</v>
      </c>
      <c r="B193" s="7" t="s">
        <v>425</v>
      </c>
      <c r="C193" s="6" t="s">
        <v>432</v>
      </c>
      <c r="D193" s="7" t="s">
        <v>433</v>
      </c>
      <c r="E193" s="8" t="n">
        <v>7871</v>
      </c>
      <c r="F193" s="8" t="n">
        <v>9091</v>
      </c>
      <c r="G193" s="8" t="n">
        <v>13695</v>
      </c>
      <c r="H193" s="8" t="n">
        <v>13525</v>
      </c>
      <c r="I193" s="8" t="n">
        <v>7407</v>
      </c>
      <c r="J193" s="8" t="n">
        <v>8524</v>
      </c>
      <c r="K193" s="8" t="n">
        <v>4136</v>
      </c>
      <c r="L193" s="8" t="n">
        <v>7163</v>
      </c>
      <c r="M193" s="8" t="n">
        <v>4039</v>
      </c>
      <c r="N193" s="8" t="n">
        <v>6966</v>
      </c>
      <c r="O193" s="8" t="n">
        <f aca="false">E193+G193+I193+K193+M193</f>
        <v>37148</v>
      </c>
      <c r="P193" s="8" t="n">
        <f aca="false">F193+H193+J193+L193+N193</f>
        <v>45269</v>
      </c>
      <c r="Q193" s="8" t="n">
        <f aca="false">SUM(O193:P193)</f>
        <v>82417</v>
      </c>
      <c r="R193" s="9" t="n">
        <f aca="false">(O193/Q193)*100</f>
        <v>45.0732251841246</v>
      </c>
      <c r="S193" s="9" t="n">
        <f aca="false">(P193/Q193)*100</f>
        <v>54.9267748158754</v>
      </c>
    </row>
    <row r="194" customFormat="false" ht="12.8" hidden="false" customHeight="false" outlineLevel="0" collapsed="false">
      <c r="A194" s="6" t="s">
        <v>95</v>
      </c>
      <c r="B194" s="7" t="s">
        <v>425</v>
      </c>
      <c r="C194" s="6" t="s">
        <v>434</v>
      </c>
      <c r="D194" s="7" t="s">
        <v>435</v>
      </c>
      <c r="E194" s="8" t="n">
        <v>5666</v>
      </c>
      <c r="F194" s="8" t="n">
        <v>6340</v>
      </c>
      <c r="G194" s="8" t="n">
        <v>11693</v>
      </c>
      <c r="H194" s="8" t="n">
        <v>11472</v>
      </c>
      <c r="I194" s="8" t="n">
        <v>6830</v>
      </c>
      <c r="J194" s="8" t="n">
        <v>7936</v>
      </c>
      <c r="K194" s="8" t="n">
        <v>3630</v>
      </c>
      <c r="L194" s="8" t="n">
        <v>5083</v>
      </c>
      <c r="M194" s="8" t="n">
        <v>3887</v>
      </c>
      <c r="N194" s="8" t="n">
        <v>5062</v>
      </c>
      <c r="O194" s="8" t="n">
        <f aca="false">E194+G194+I194+K194+M194</f>
        <v>31706</v>
      </c>
      <c r="P194" s="8" t="n">
        <f aca="false">F194+H194+J194+L194+N194</f>
        <v>35893</v>
      </c>
      <c r="Q194" s="8" t="n">
        <f aca="false">SUM(O194:P194)</f>
        <v>67599</v>
      </c>
      <c r="R194" s="9" t="n">
        <f aca="false">(O194/Q194)*100</f>
        <v>46.9030606961641</v>
      </c>
      <c r="S194" s="9" t="n">
        <f aca="false">(P194/Q194)*100</f>
        <v>53.0969393038359</v>
      </c>
    </row>
    <row r="195" customFormat="false" ht="12.8" hidden="false" customHeight="false" outlineLevel="0" collapsed="false">
      <c r="A195" s="6" t="s">
        <v>95</v>
      </c>
      <c r="B195" s="7" t="s">
        <v>425</v>
      </c>
      <c r="C195" s="6" t="s">
        <v>436</v>
      </c>
      <c r="D195" s="7" t="s">
        <v>437</v>
      </c>
      <c r="E195" s="8" t="n">
        <v>3653</v>
      </c>
      <c r="F195" s="8" t="n">
        <v>4507</v>
      </c>
      <c r="G195" s="8" t="n">
        <v>8083</v>
      </c>
      <c r="H195" s="8" t="n">
        <v>8166</v>
      </c>
      <c r="I195" s="8" t="n">
        <v>4203</v>
      </c>
      <c r="J195" s="8" t="n">
        <v>4865</v>
      </c>
      <c r="K195" s="8" t="n">
        <v>2624</v>
      </c>
      <c r="L195" s="8" t="n">
        <v>4508</v>
      </c>
      <c r="M195" s="8" t="n">
        <v>2481</v>
      </c>
      <c r="N195" s="8" t="n">
        <v>4043</v>
      </c>
      <c r="O195" s="8" t="n">
        <f aca="false">E195+G195+I195+K195+M195</f>
        <v>21044</v>
      </c>
      <c r="P195" s="8" t="n">
        <f aca="false">F195+H195+J195+L195+N195</f>
        <v>26089</v>
      </c>
      <c r="Q195" s="8" t="n">
        <f aca="false">SUM(O195:P195)</f>
        <v>47133</v>
      </c>
      <c r="R195" s="9" t="n">
        <f aca="false">(O195/Q195)*100</f>
        <v>44.6481233954979</v>
      </c>
      <c r="S195" s="9" t="n">
        <f aca="false">(P195/Q195)*100</f>
        <v>55.3518766045021</v>
      </c>
    </row>
    <row r="196" customFormat="false" ht="12.8" hidden="false" customHeight="false" outlineLevel="0" collapsed="false">
      <c r="A196" s="6" t="s">
        <v>97</v>
      </c>
      <c r="B196" s="7" t="s">
        <v>438</v>
      </c>
      <c r="C196" s="6" t="s">
        <v>439</v>
      </c>
      <c r="D196" s="7" t="s">
        <v>440</v>
      </c>
      <c r="E196" s="8" t="n">
        <v>5636</v>
      </c>
      <c r="F196" s="8" t="n">
        <v>7218</v>
      </c>
      <c r="G196" s="8" t="n">
        <v>12551</v>
      </c>
      <c r="H196" s="8" t="n">
        <v>11941</v>
      </c>
      <c r="I196" s="8" t="n">
        <v>6767</v>
      </c>
      <c r="J196" s="8" t="n">
        <v>7593</v>
      </c>
      <c r="K196" s="8" t="n">
        <v>4271</v>
      </c>
      <c r="L196" s="8" t="n">
        <v>7221</v>
      </c>
      <c r="M196" s="8" t="n">
        <v>3896</v>
      </c>
      <c r="N196" s="8" t="n">
        <v>6220</v>
      </c>
      <c r="O196" s="8" t="n">
        <f aca="false">E196+G196+I196+K196+M196</f>
        <v>33121</v>
      </c>
      <c r="P196" s="8" t="n">
        <f aca="false">F196+H196+J196+L196+N196</f>
        <v>40193</v>
      </c>
      <c r="Q196" s="8" t="n">
        <f aca="false">SUM(O196:P196)</f>
        <v>73314</v>
      </c>
      <c r="R196" s="9" t="n">
        <f aca="false">(O196/Q196)*100</f>
        <v>45.1769102763456</v>
      </c>
      <c r="S196" s="9" t="n">
        <f aca="false">(P196/Q196)*100</f>
        <v>54.8230897236544</v>
      </c>
    </row>
    <row r="197" customFormat="false" ht="12.8" hidden="false" customHeight="false" outlineLevel="0" collapsed="false">
      <c r="A197" s="6" t="s">
        <v>97</v>
      </c>
      <c r="B197" s="7" t="s">
        <v>438</v>
      </c>
      <c r="C197" s="6" t="s">
        <v>441</v>
      </c>
      <c r="D197" s="7" t="s">
        <v>442</v>
      </c>
      <c r="E197" s="8" t="n">
        <v>5604</v>
      </c>
      <c r="F197" s="8" t="n">
        <v>6986</v>
      </c>
      <c r="G197" s="8" t="n">
        <v>11381</v>
      </c>
      <c r="H197" s="8" t="n">
        <v>10145</v>
      </c>
      <c r="I197" s="8" t="n">
        <v>6869</v>
      </c>
      <c r="J197" s="8" t="n">
        <v>6946</v>
      </c>
      <c r="K197" s="8" t="n">
        <v>3828</v>
      </c>
      <c r="L197" s="8" t="n">
        <v>7641</v>
      </c>
      <c r="M197" s="8" t="n">
        <v>3218</v>
      </c>
      <c r="N197" s="8" t="n">
        <v>5926</v>
      </c>
      <c r="O197" s="8" t="n">
        <f aca="false">E197+G197+I197+K197+M197</f>
        <v>30900</v>
      </c>
      <c r="P197" s="8" t="n">
        <f aca="false">F197+H197+J197+L197+N197</f>
        <v>37644</v>
      </c>
      <c r="Q197" s="8" t="n">
        <f aca="false">SUM(O197:P197)</f>
        <v>68544</v>
      </c>
      <c r="R197" s="9" t="n">
        <f aca="false">(O197/Q197)*100</f>
        <v>45.0805322128852</v>
      </c>
      <c r="S197" s="9" t="n">
        <f aca="false">(P197/Q197)*100</f>
        <v>54.9194677871149</v>
      </c>
    </row>
    <row r="198" customFormat="false" ht="12.8" hidden="false" customHeight="false" outlineLevel="0" collapsed="false">
      <c r="A198" s="6" t="s">
        <v>97</v>
      </c>
      <c r="B198" s="7" t="s">
        <v>438</v>
      </c>
      <c r="C198" s="6" t="s">
        <v>443</v>
      </c>
      <c r="D198" s="7" t="s">
        <v>444</v>
      </c>
      <c r="E198" s="8" t="n">
        <v>3703</v>
      </c>
      <c r="F198" s="8" t="n">
        <v>5128</v>
      </c>
      <c r="G198" s="8" t="n">
        <v>9051</v>
      </c>
      <c r="H198" s="8" t="n">
        <v>8905</v>
      </c>
      <c r="I198" s="8" t="n">
        <v>5158</v>
      </c>
      <c r="J198" s="8" t="n">
        <v>5381</v>
      </c>
      <c r="K198" s="8" t="n">
        <v>2880</v>
      </c>
      <c r="L198" s="8" t="n">
        <v>5534</v>
      </c>
      <c r="M198" s="8" t="n">
        <v>2604</v>
      </c>
      <c r="N198" s="8" t="n">
        <v>4518</v>
      </c>
      <c r="O198" s="8" t="n">
        <f aca="false">E198+G198+I198+K198+M198</f>
        <v>23396</v>
      </c>
      <c r="P198" s="8" t="n">
        <f aca="false">F198+H198+J198+L198+N198</f>
        <v>29466</v>
      </c>
      <c r="Q198" s="8" t="n">
        <f aca="false">SUM(O198:P198)</f>
        <v>52862</v>
      </c>
      <c r="R198" s="9" t="n">
        <f aca="false">(O198/Q198)*100</f>
        <v>44.2586356929363</v>
      </c>
      <c r="S198" s="9" t="n">
        <f aca="false">(P198/Q198)*100</f>
        <v>55.7413643070637</v>
      </c>
    </row>
    <row r="199" customFormat="false" ht="12.8" hidden="false" customHeight="false" outlineLevel="0" collapsed="false">
      <c r="A199" s="6" t="s">
        <v>97</v>
      </c>
      <c r="B199" s="7" t="s">
        <v>438</v>
      </c>
      <c r="C199" s="6" t="s">
        <v>445</v>
      </c>
      <c r="D199" s="7" t="s">
        <v>446</v>
      </c>
      <c r="E199" s="8" t="n">
        <v>4965</v>
      </c>
      <c r="F199" s="8" t="n">
        <v>6327</v>
      </c>
      <c r="G199" s="8" t="n">
        <v>10218</v>
      </c>
      <c r="H199" s="8" t="n">
        <v>10863</v>
      </c>
      <c r="I199" s="8" t="n">
        <v>5414</v>
      </c>
      <c r="J199" s="8" t="n">
        <v>6226</v>
      </c>
      <c r="K199" s="8" t="n">
        <v>3052</v>
      </c>
      <c r="L199" s="8" t="n">
        <v>5243</v>
      </c>
      <c r="M199" s="8" t="n">
        <v>2897</v>
      </c>
      <c r="N199" s="8" t="n">
        <v>4910</v>
      </c>
      <c r="O199" s="8" t="n">
        <f aca="false">E199+G199+I199+K199+M199</f>
        <v>26546</v>
      </c>
      <c r="P199" s="8" t="n">
        <f aca="false">F199+H199+J199+L199+N199</f>
        <v>33569</v>
      </c>
      <c r="Q199" s="8" t="n">
        <f aca="false">SUM(O199:P199)</f>
        <v>60115</v>
      </c>
      <c r="R199" s="9" t="n">
        <f aca="false">(O199/Q199)*100</f>
        <v>44.1586958329868</v>
      </c>
      <c r="S199" s="9" t="n">
        <f aca="false">(P199/Q199)*100</f>
        <v>55.8413041670132</v>
      </c>
    </row>
    <row r="200" customFormat="false" ht="12.8" hidden="false" customHeight="false" outlineLevel="0" collapsed="false">
      <c r="A200" s="6" t="s">
        <v>97</v>
      </c>
      <c r="B200" s="7" t="s">
        <v>438</v>
      </c>
      <c r="C200" s="6" t="s">
        <v>447</v>
      </c>
      <c r="D200" s="7" t="s">
        <v>448</v>
      </c>
      <c r="E200" s="8" t="n">
        <v>5507</v>
      </c>
      <c r="F200" s="8" t="n">
        <v>6943</v>
      </c>
      <c r="G200" s="8" t="n">
        <v>11300</v>
      </c>
      <c r="H200" s="8" t="n">
        <v>12036</v>
      </c>
      <c r="I200" s="8" t="n">
        <v>6233</v>
      </c>
      <c r="J200" s="8" t="n">
        <v>8368</v>
      </c>
      <c r="K200" s="8" t="n">
        <v>3299</v>
      </c>
      <c r="L200" s="8" t="n">
        <v>4858</v>
      </c>
      <c r="M200" s="8" t="n">
        <v>3786</v>
      </c>
      <c r="N200" s="8" t="n">
        <v>4847</v>
      </c>
      <c r="O200" s="8" t="n">
        <f aca="false">E200+G200+I200+K200+M200</f>
        <v>30125</v>
      </c>
      <c r="P200" s="8" t="n">
        <f aca="false">F200+H200+J200+L200+N200</f>
        <v>37052</v>
      </c>
      <c r="Q200" s="8" t="n">
        <f aca="false">SUM(O200:P200)</f>
        <v>67177</v>
      </c>
      <c r="R200" s="9" t="n">
        <f aca="false">(O200/Q200)*100</f>
        <v>44.8442175149233</v>
      </c>
      <c r="S200" s="9" t="n">
        <f aca="false">(P200/Q200)*100</f>
        <v>55.1557824850767</v>
      </c>
    </row>
    <row r="201" customFormat="false" ht="12.8" hidden="false" customHeight="false" outlineLevel="0" collapsed="false">
      <c r="A201" s="6" t="s">
        <v>99</v>
      </c>
      <c r="B201" s="7" t="s">
        <v>449</v>
      </c>
      <c r="C201" s="6" t="s">
        <v>450</v>
      </c>
      <c r="D201" s="7" t="s">
        <v>451</v>
      </c>
      <c r="E201" s="8" t="n">
        <v>5677</v>
      </c>
      <c r="F201" s="8" t="n">
        <v>7202</v>
      </c>
      <c r="G201" s="8" t="n">
        <v>12083</v>
      </c>
      <c r="H201" s="8" t="n">
        <v>11318</v>
      </c>
      <c r="I201" s="8" t="n">
        <v>7638</v>
      </c>
      <c r="J201" s="8" t="n">
        <v>7243</v>
      </c>
      <c r="K201" s="8" t="n">
        <v>5685</v>
      </c>
      <c r="L201" s="8" t="n">
        <v>7987</v>
      </c>
      <c r="M201" s="8" t="n">
        <v>4879</v>
      </c>
      <c r="N201" s="8" t="n">
        <v>7289</v>
      </c>
      <c r="O201" s="8" t="n">
        <f aca="false">E201+G201+I201+K201+M201</f>
        <v>35962</v>
      </c>
      <c r="P201" s="8" t="n">
        <f aca="false">F201+H201+J201+L201+N201</f>
        <v>41039</v>
      </c>
      <c r="Q201" s="8" t="n">
        <f aca="false">SUM(O201:P201)</f>
        <v>77001</v>
      </c>
      <c r="R201" s="9" t="n">
        <f aca="false">(O201/Q201)*100</f>
        <v>46.703289567668</v>
      </c>
      <c r="S201" s="9" t="n">
        <f aca="false">(P201/Q201)*100</f>
        <v>53.2967104323321</v>
      </c>
    </row>
    <row r="202" customFormat="false" ht="12.8" hidden="false" customHeight="false" outlineLevel="0" collapsed="false">
      <c r="A202" s="6" t="s">
        <v>99</v>
      </c>
      <c r="B202" s="7" t="s">
        <v>449</v>
      </c>
      <c r="C202" s="6" t="s">
        <v>452</v>
      </c>
      <c r="D202" s="7" t="s">
        <v>453</v>
      </c>
      <c r="E202" s="8" t="n">
        <v>4875</v>
      </c>
      <c r="F202" s="8" t="n">
        <v>6077</v>
      </c>
      <c r="G202" s="8" t="n">
        <v>9590</v>
      </c>
      <c r="H202" s="8" t="n">
        <v>9108</v>
      </c>
      <c r="I202" s="8" t="n">
        <v>6562</v>
      </c>
      <c r="J202" s="8" t="n">
        <v>6299</v>
      </c>
      <c r="K202" s="8" t="n">
        <v>4734</v>
      </c>
      <c r="L202" s="8" t="n">
        <v>6259</v>
      </c>
      <c r="M202" s="8" t="n">
        <v>4169</v>
      </c>
      <c r="N202" s="8" t="n">
        <v>5638</v>
      </c>
      <c r="O202" s="8" t="n">
        <f aca="false">E202+G202+I202+K202+M202</f>
        <v>29930</v>
      </c>
      <c r="P202" s="8" t="n">
        <f aca="false">F202+H202+J202+L202+N202</f>
        <v>33381</v>
      </c>
      <c r="Q202" s="8" t="n">
        <f aca="false">SUM(O202:P202)</f>
        <v>63311</v>
      </c>
      <c r="R202" s="9" t="n">
        <f aca="false">(O202/Q202)*100</f>
        <v>47.2745652414272</v>
      </c>
      <c r="S202" s="9" t="n">
        <f aca="false">(P202/Q202)*100</f>
        <v>52.7254347585728</v>
      </c>
    </row>
    <row r="203" customFormat="false" ht="12.8" hidden="false" customHeight="false" outlineLevel="0" collapsed="false">
      <c r="A203" s="6" t="s">
        <v>99</v>
      </c>
      <c r="B203" s="7" t="s">
        <v>449</v>
      </c>
      <c r="C203" s="6" t="s">
        <v>454</v>
      </c>
      <c r="D203" s="7" t="s">
        <v>455</v>
      </c>
      <c r="E203" s="8" t="n">
        <v>4697</v>
      </c>
      <c r="F203" s="8" t="n">
        <v>6670</v>
      </c>
      <c r="G203" s="8" t="n">
        <v>13854</v>
      </c>
      <c r="H203" s="8" t="n">
        <v>13337</v>
      </c>
      <c r="I203" s="8" t="n">
        <v>7945</v>
      </c>
      <c r="J203" s="8" t="n">
        <v>8864</v>
      </c>
      <c r="K203" s="8" t="n">
        <v>5256</v>
      </c>
      <c r="L203" s="8" t="n">
        <v>8397</v>
      </c>
      <c r="M203" s="8" t="n">
        <v>5177</v>
      </c>
      <c r="N203" s="8" t="n">
        <v>7939</v>
      </c>
      <c r="O203" s="8" t="n">
        <f aca="false">E203+G203+I203+K203+M203</f>
        <v>36929</v>
      </c>
      <c r="P203" s="8" t="n">
        <f aca="false">F203+H203+J203+L203+N203</f>
        <v>45207</v>
      </c>
      <c r="Q203" s="8" t="n">
        <f aca="false">SUM(O203:P203)</f>
        <v>82136</v>
      </c>
      <c r="R203" s="9" t="n">
        <f aca="false">(O203/Q203)*100</f>
        <v>44.960796727379</v>
      </c>
      <c r="S203" s="9" t="n">
        <f aca="false">(P203/Q203)*100</f>
        <v>55.039203272621</v>
      </c>
    </row>
    <row r="204" customFormat="false" ht="12.8" hidden="false" customHeight="false" outlineLevel="0" collapsed="false">
      <c r="A204" s="6" t="s">
        <v>99</v>
      </c>
      <c r="B204" s="7" t="s">
        <v>449</v>
      </c>
      <c r="C204" s="6" t="s">
        <v>456</v>
      </c>
      <c r="D204" s="7" t="s">
        <v>457</v>
      </c>
      <c r="E204" s="8" t="n">
        <v>6006</v>
      </c>
      <c r="F204" s="8" t="n">
        <v>7247</v>
      </c>
      <c r="G204" s="8" t="n">
        <v>13935</v>
      </c>
      <c r="H204" s="8" t="n">
        <v>14327</v>
      </c>
      <c r="I204" s="8" t="n">
        <v>7450</v>
      </c>
      <c r="J204" s="8" t="n">
        <v>8278</v>
      </c>
      <c r="K204" s="8" t="n">
        <v>5297</v>
      </c>
      <c r="L204" s="8" t="n">
        <v>6697</v>
      </c>
      <c r="M204" s="8" t="n">
        <v>4907</v>
      </c>
      <c r="N204" s="8" t="n">
        <v>5893</v>
      </c>
      <c r="O204" s="8" t="n">
        <f aca="false">E204+G204+I204+K204+M204</f>
        <v>37595</v>
      </c>
      <c r="P204" s="8" t="n">
        <f aca="false">F204+H204+J204+L204+N204</f>
        <v>42442</v>
      </c>
      <c r="Q204" s="8" t="n">
        <f aca="false">SUM(O204:P204)</f>
        <v>80037</v>
      </c>
      <c r="R204" s="9" t="n">
        <f aca="false">(O204/Q204)*100</f>
        <v>46.9720254382348</v>
      </c>
      <c r="S204" s="9" t="n">
        <f aca="false">(P204/Q204)*100</f>
        <v>53.0279745617652</v>
      </c>
    </row>
    <row r="205" customFormat="false" ht="12.8" hidden="false" customHeight="false" outlineLevel="0" collapsed="false">
      <c r="A205" s="6" t="s">
        <v>99</v>
      </c>
      <c r="B205" s="7" t="s">
        <v>449</v>
      </c>
      <c r="C205" s="6" t="s">
        <v>458</v>
      </c>
      <c r="D205" s="7" t="s">
        <v>459</v>
      </c>
      <c r="E205" s="8" t="n">
        <v>3551</v>
      </c>
      <c r="F205" s="8" t="n">
        <v>4657</v>
      </c>
      <c r="G205" s="8" t="n">
        <v>8917</v>
      </c>
      <c r="H205" s="8" t="n">
        <v>8502</v>
      </c>
      <c r="I205" s="8" t="n">
        <v>5037</v>
      </c>
      <c r="J205" s="8" t="n">
        <v>5368</v>
      </c>
      <c r="K205" s="8" t="n">
        <v>3490</v>
      </c>
      <c r="L205" s="8" t="n">
        <v>5806</v>
      </c>
      <c r="M205" s="8" t="n">
        <v>3272</v>
      </c>
      <c r="N205" s="8" t="n">
        <v>5020</v>
      </c>
      <c r="O205" s="8" t="n">
        <f aca="false">E205+G205+I205+K205+M205</f>
        <v>24267</v>
      </c>
      <c r="P205" s="8" t="n">
        <f aca="false">F205+H205+J205+L205+N205</f>
        <v>29353</v>
      </c>
      <c r="Q205" s="8" t="n">
        <f aca="false">SUM(O205:P205)</f>
        <v>53620</v>
      </c>
      <c r="R205" s="9" t="n">
        <f aca="false">(O205/Q205)*100</f>
        <v>45.2573666542335</v>
      </c>
      <c r="S205" s="9" t="n">
        <f aca="false">(P205/Q205)*100</f>
        <v>54.7426333457665</v>
      </c>
    </row>
    <row r="206" customFormat="false" ht="12.8" hidden="false" customHeight="false" outlineLevel="0" collapsed="false">
      <c r="A206" s="6" t="s">
        <v>99</v>
      </c>
      <c r="B206" s="7" t="s">
        <v>449</v>
      </c>
      <c r="C206" s="6" t="s">
        <v>460</v>
      </c>
      <c r="D206" s="7" t="s">
        <v>461</v>
      </c>
      <c r="E206" s="8" t="n">
        <v>3402</v>
      </c>
      <c r="F206" s="8" t="n">
        <v>3998</v>
      </c>
      <c r="G206" s="8" t="n">
        <v>8348</v>
      </c>
      <c r="H206" s="8" t="n">
        <v>7589</v>
      </c>
      <c r="I206" s="8" t="n">
        <v>4600</v>
      </c>
      <c r="J206" s="8" t="n">
        <v>4527</v>
      </c>
      <c r="K206" s="8" t="n">
        <v>3195</v>
      </c>
      <c r="L206" s="8" t="n">
        <v>4875</v>
      </c>
      <c r="M206" s="8" t="n">
        <v>2977</v>
      </c>
      <c r="N206" s="8" t="n">
        <v>3981</v>
      </c>
      <c r="O206" s="8" t="n">
        <f aca="false">E206+G206+I206+K206+M206</f>
        <v>22522</v>
      </c>
      <c r="P206" s="8" t="n">
        <f aca="false">F206+H206+J206+L206+N206</f>
        <v>24970</v>
      </c>
      <c r="Q206" s="8" t="n">
        <f aca="false">SUM(O206:P206)</f>
        <v>47492</v>
      </c>
      <c r="R206" s="9" t="n">
        <f aca="false">(O206/Q206)*100</f>
        <v>47.4227238271709</v>
      </c>
      <c r="S206" s="9" t="n">
        <f aca="false">(P206/Q206)*100</f>
        <v>52.5772761728291</v>
      </c>
    </row>
    <row r="207" customFormat="false" ht="12.8" hidden="false" customHeight="false" outlineLevel="0" collapsed="false">
      <c r="A207" s="6" t="s">
        <v>99</v>
      </c>
      <c r="B207" s="7" t="s">
        <v>449</v>
      </c>
      <c r="C207" s="6" t="s">
        <v>462</v>
      </c>
      <c r="D207" s="7" t="s">
        <v>463</v>
      </c>
      <c r="E207" s="8" t="n">
        <v>3590</v>
      </c>
      <c r="F207" s="8" t="n">
        <v>4191</v>
      </c>
      <c r="G207" s="8" t="n">
        <v>8196</v>
      </c>
      <c r="H207" s="8" t="n">
        <v>7208</v>
      </c>
      <c r="I207" s="8" t="n">
        <v>3856</v>
      </c>
      <c r="J207" s="8" t="n">
        <v>4513</v>
      </c>
      <c r="K207" s="8" t="n">
        <v>3090</v>
      </c>
      <c r="L207" s="8" t="n">
        <v>4549</v>
      </c>
      <c r="M207" s="8" t="n">
        <v>2701</v>
      </c>
      <c r="N207" s="8" t="n">
        <v>3486</v>
      </c>
      <c r="O207" s="8" t="n">
        <f aca="false">E207+G207+I207+K207+M207</f>
        <v>21433</v>
      </c>
      <c r="P207" s="8" t="n">
        <f aca="false">F207+H207+J207+L207+N207</f>
        <v>23947</v>
      </c>
      <c r="Q207" s="8" t="n">
        <f aca="false">SUM(O207:P207)</f>
        <v>45380</v>
      </c>
      <c r="R207" s="9" t="n">
        <f aca="false">(O207/Q207)*100</f>
        <v>47.2300572939621</v>
      </c>
      <c r="S207" s="9" t="n">
        <f aca="false">(P207/Q207)*100</f>
        <v>52.7699427060379</v>
      </c>
    </row>
    <row r="208" customFormat="false" ht="12.8" hidden="false" customHeight="false" outlineLevel="0" collapsed="false">
      <c r="A208" s="6" t="s">
        <v>99</v>
      </c>
      <c r="B208" s="7" t="s">
        <v>449</v>
      </c>
      <c r="C208" s="6" t="s">
        <v>464</v>
      </c>
      <c r="D208" s="7" t="s">
        <v>465</v>
      </c>
      <c r="E208" s="8" t="n">
        <v>4549</v>
      </c>
      <c r="F208" s="8" t="n">
        <v>5754</v>
      </c>
      <c r="G208" s="8" t="n">
        <v>10042</v>
      </c>
      <c r="H208" s="8" t="n">
        <v>9521</v>
      </c>
      <c r="I208" s="8" t="n">
        <v>6209</v>
      </c>
      <c r="J208" s="8" t="n">
        <v>6064</v>
      </c>
      <c r="K208" s="8" t="n">
        <v>4096</v>
      </c>
      <c r="L208" s="8" t="n">
        <v>6448</v>
      </c>
      <c r="M208" s="8" t="n">
        <v>3711</v>
      </c>
      <c r="N208" s="8" t="n">
        <v>5334</v>
      </c>
      <c r="O208" s="8" t="n">
        <f aca="false">E208+G208+I208+K208+M208</f>
        <v>28607</v>
      </c>
      <c r="P208" s="8" t="n">
        <f aca="false">F208+H208+J208+L208+N208</f>
        <v>33121</v>
      </c>
      <c r="Q208" s="8" t="n">
        <f aca="false">SUM(O208:P208)</f>
        <v>61728</v>
      </c>
      <c r="R208" s="9" t="n">
        <f aca="false">(O208/Q208)*100</f>
        <v>46.3436365992742</v>
      </c>
      <c r="S208" s="9" t="n">
        <f aca="false">(P208/Q208)*100</f>
        <v>53.6563634007258</v>
      </c>
    </row>
    <row r="209" customFormat="false" ht="12.8" hidden="false" customHeight="false" outlineLevel="0" collapsed="false">
      <c r="A209" s="6" t="s">
        <v>99</v>
      </c>
      <c r="B209" s="7" t="s">
        <v>449</v>
      </c>
      <c r="C209" s="6" t="s">
        <v>466</v>
      </c>
      <c r="D209" s="7" t="s">
        <v>467</v>
      </c>
      <c r="E209" s="8" t="n">
        <v>4106</v>
      </c>
      <c r="F209" s="8" t="n">
        <v>4717</v>
      </c>
      <c r="G209" s="8" t="n">
        <v>10281</v>
      </c>
      <c r="H209" s="8" t="n">
        <v>8544</v>
      </c>
      <c r="I209" s="8" t="n">
        <v>5636</v>
      </c>
      <c r="J209" s="8" t="n">
        <v>5506</v>
      </c>
      <c r="K209" s="8" t="n">
        <v>4849</v>
      </c>
      <c r="L209" s="8" t="n">
        <v>8054</v>
      </c>
      <c r="M209" s="8" t="n">
        <v>4282</v>
      </c>
      <c r="N209" s="8" t="n">
        <v>6981</v>
      </c>
      <c r="O209" s="8" t="n">
        <f aca="false">E209+G209+I209+K209+M209</f>
        <v>29154</v>
      </c>
      <c r="P209" s="8" t="n">
        <f aca="false">F209+H209+J209+L209+N209</f>
        <v>33802</v>
      </c>
      <c r="Q209" s="8" t="n">
        <f aca="false">SUM(O209:P209)</f>
        <v>62956</v>
      </c>
      <c r="R209" s="9" t="n">
        <f aca="false">(O209/Q209)*100</f>
        <v>46.3085329436432</v>
      </c>
      <c r="S209" s="9" t="n">
        <f aca="false">(P209/Q209)*100</f>
        <v>53.6914670563568</v>
      </c>
    </row>
    <row r="210" customFormat="false" ht="12.8" hidden="false" customHeight="false" outlineLevel="0" collapsed="false">
      <c r="A210" s="6" t="s">
        <v>99</v>
      </c>
      <c r="B210" s="7" t="s">
        <v>449</v>
      </c>
      <c r="C210" s="6" t="s">
        <v>468</v>
      </c>
      <c r="D210" s="7" t="s">
        <v>469</v>
      </c>
      <c r="E210" s="8" t="n">
        <v>2896</v>
      </c>
      <c r="F210" s="8" t="n">
        <v>3371</v>
      </c>
      <c r="G210" s="8" t="n">
        <v>7684</v>
      </c>
      <c r="H210" s="8" t="n">
        <v>6086</v>
      </c>
      <c r="I210" s="8" t="n">
        <v>4230</v>
      </c>
      <c r="J210" s="8" t="n">
        <v>3951</v>
      </c>
      <c r="K210" s="8" t="n">
        <v>3772</v>
      </c>
      <c r="L210" s="8" t="n">
        <v>7632</v>
      </c>
      <c r="M210" s="8" t="n">
        <v>3235</v>
      </c>
      <c r="N210" s="8" t="n">
        <v>6063</v>
      </c>
      <c r="O210" s="8" t="n">
        <f aca="false">E210+G210+I210+K210+M210</f>
        <v>21817</v>
      </c>
      <c r="P210" s="8" t="n">
        <f aca="false">F210+H210+J210+L210+N210</f>
        <v>27103</v>
      </c>
      <c r="Q210" s="8" t="n">
        <f aca="false">SUM(O210:P210)</f>
        <v>48920</v>
      </c>
      <c r="R210" s="9" t="n">
        <f aca="false">(O210/Q210)*100</f>
        <v>44.5973017170891</v>
      </c>
      <c r="S210" s="9" t="n">
        <f aca="false">(P210/Q210)*100</f>
        <v>55.4026982829109</v>
      </c>
    </row>
    <row r="211" customFormat="false" ht="12.8" hidden="false" customHeight="false" outlineLevel="0" collapsed="false">
      <c r="A211" s="6" t="s">
        <v>99</v>
      </c>
      <c r="B211" s="7" t="s">
        <v>449</v>
      </c>
      <c r="C211" s="6" t="s">
        <v>470</v>
      </c>
      <c r="D211" s="7" t="s">
        <v>471</v>
      </c>
      <c r="E211" s="8" t="n">
        <v>4532</v>
      </c>
      <c r="F211" s="8" t="n">
        <v>5600</v>
      </c>
      <c r="G211" s="8" t="n">
        <v>10678</v>
      </c>
      <c r="H211" s="8" t="n">
        <v>10201</v>
      </c>
      <c r="I211" s="8" t="n">
        <v>6711</v>
      </c>
      <c r="J211" s="8" t="n">
        <v>6425</v>
      </c>
      <c r="K211" s="8" t="n">
        <v>5239</v>
      </c>
      <c r="L211" s="8" t="n">
        <v>9394</v>
      </c>
      <c r="M211" s="8" t="n">
        <v>4692</v>
      </c>
      <c r="N211" s="8" t="n">
        <v>7784</v>
      </c>
      <c r="O211" s="8" t="n">
        <f aca="false">E211+G211+I211+K211+M211</f>
        <v>31852</v>
      </c>
      <c r="P211" s="8" t="n">
        <f aca="false">F211+H211+J211+L211+N211</f>
        <v>39404</v>
      </c>
      <c r="Q211" s="8" t="n">
        <f aca="false">SUM(O211:P211)</f>
        <v>71256</v>
      </c>
      <c r="R211" s="9" t="n">
        <f aca="false">(O211/Q211)*100</f>
        <v>44.7007971258561</v>
      </c>
      <c r="S211" s="9" t="n">
        <f aca="false">(P211/Q211)*100</f>
        <v>55.2992028741439</v>
      </c>
    </row>
    <row r="212" customFormat="false" ht="12.8" hidden="false" customHeight="false" outlineLevel="0" collapsed="false">
      <c r="A212" s="6" t="s">
        <v>99</v>
      </c>
      <c r="B212" s="7" t="s">
        <v>449</v>
      </c>
      <c r="C212" s="6" t="s">
        <v>472</v>
      </c>
      <c r="D212" s="7" t="s">
        <v>473</v>
      </c>
      <c r="E212" s="8" t="n">
        <v>3641</v>
      </c>
      <c r="F212" s="8" t="n">
        <v>4304</v>
      </c>
      <c r="G212" s="8" t="n">
        <v>7092</v>
      </c>
      <c r="H212" s="8" t="n">
        <v>6613</v>
      </c>
      <c r="I212" s="8" t="n">
        <v>4557</v>
      </c>
      <c r="J212" s="8" t="n">
        <v>4118</v>
      </c>
      <c r="K212" s="8" t="n">
        <v>3706</v>
      </c>
      <c r="L212" s="8" t="n">
        <v>7166</v>
      </c>
      <c r="M212" s="8" t="n">
        <v>2930</v>
      </c>
      <c r="N212" s="8" t="n">
        <v>5772</v>
      </c>
      <c r="O212" s="8" t="n">
        <f aca="false">E212+G212+I212+K212+M212</f>
        <v>21926</v>
      </c>
      <c r="P212" s="8" t="n">
        <f aca="false">F212+H212+J212+L212+N212</f>
        <v>27973</v>
      </c>
      <c r="Q212" s="8" t="n">
        <f aca="false">SUM(O212:P212)</f>
        <v>49899</v>
      </c>
      <c r="R212" s="9" t="n">
        <f aca="false">(O212/Q212)*100</f>
        <v>43.9407603358785</v>
      </c>
      <c r="S212" s="9" t="n">
        <f aca="false">(P212/Q212)*100</f>
        <v>56.0592396641215</v>
      </c>
    </row>
    <row r="213" customFormat="false" ht="12.8" hidden="false" customHeight="false" outlineLevel="0" collapsed="false">
      <c r="A213" s="6" t="s">
        <v>101</v>
      </c>
      <c r="B213" s="7" t="s">
        <v>474</v>
      </c>
      <c r="C213" s="6" t="s">
        <v>475</v>
      </c>
      <c r="D213" s="7" t="s">
        <v>474</v>
      </c>
      <c r="E213" s="8" t="n">
        <v>3162</v>
      </c>
      <c r="F213" s="8" t="n">
        <v>3941</v>
      </c>
      <c r="G213" s="8" t="n">
        <v>6330</v>
      </c>
      <c r="H213" s="8" t="n">
        <v>5437</v>
      </c>
      <c r="I213" s="8" t="n">
        <v>4164</v>
      </c>
      <c r="J213" s="8" t="n">
        <v>3683</v>
      </c>
      <c r="K213" s="8" t="n">
        <v>3388</v>
      </c>
      <c r="L213" s="8" t="n">
        <v>6877</v>
      </c>
      <c r="M213" s="8" t="n">
        <v>2665</v>
      </c>
      <c r="N213" s="8" t="n">
        <v>5662</v>
      </c>
      <c r="O213" s="8" t="n">
        <f aca="false">E213+G213+I213+K213+M213</f>
        <v>19709</v>
      </c>
      <c r="P213" s="8" t="n">
        <f aca="false">F213+H213+J213+L213+N213</f>
        <v>25600</v>
      </c>
      <c r="Q213" s="8" t="n">
        <f aca="false">SUM(O213:P213)</f>
        <v>45309</v>
      </c>
      <c r="R213" s="9" t="n">
        <f aca="false">(O213/Q213)*100</f>
        <v>43.4990840671831</v>
      </c>
      <c r="S213" s="9" t="n">
        <f aca="false">(P213/Q213)*100</f>
        <v>56.5009159328169</v>
      </c>
    </row>
    <row r="214" customFormat="false" ht="12.8" hidden="false" customHeight="false" outlineLevel="0" collapsed="false">
      <c r="A214" s="6" t="s">
        <v>101</v>
      </c>
      <c r="B214" s="7" t="s">
        <v>474</v>
      </c>
      <c r="C214" s="6" t="s">
        <v>476</v>
      </c>
      <c r="D214" s="7" t="s">
        <v>477</v>
      </c>
      <c r="E214" s="8" t="n">
        <v>4324</v>
      </c>
      <c r="F214" s="8" t="n">
        <v>5130</v>
      </c>
      <c r="G214" s="8" t="n">
        <v>8839</v>
      </c>
      <c r="H214" s="8" t="n">
        <v>7842</v>
      </c>
      <c r="I214" s="8" t="n">
        <v>5756</v>
      </c>
      <c r="J214" s="8" t="n">
        <v>5106</v>
      </c>
      <c r="K214" s="8" t="n">
        <v>4598</v>
      </c>
      <c r="L214" s="8" t="n">
        <v>9980</v>
      </c>
      <c r="M214" s="8" t="n">
        <v>3703</v>
      </c>
      <c r="N214" s="8" t="n">
        <v>7757</v>
      </c>
      <c r="O214" s="8" t="n">
        <f aca="false">E214+G214+I214+K214+M214</f>
        <v>27220</v>
      </c>
      <c r="P214" s="8" t="n">
        <f aca="false">F214+H214+J214+L214+N214</f>
        <v>35815</v>
      </c>
      <c r="Q214" s="8" t="n">
        <f aca="false">SUM(O214:P214)</f>
        <v>63035</v>
      </c>
      <c r="R214" s="9" t="n">
        <f aca="false">(O214/Q214)*100</f>
        <v>43.1823590069009</v>
      </c>
      <c r="S214" s="9" t="n">
        <f aca="false">(P214/Q214)*100</f>
        <v>56.8176409930991</v>
      </c>
    </row>
    <row r="215" customFormat="false" ht="12.8" hidden="false" customHeight="false" outlineLevel="0" collapsed="false">
      <c r="A215" s="6" t="s">
        <v>101</v>
      </c>
      <c r="B215" s="7" t="s">
        <v>474</v>
      </c>
      <c r="C215" s="6" t="s">
        <v>478</v>
      </c>
      <c r="D215" s="7" t="s">
        <v>479</v>
      </c>
      <c r="E215" s="8" t="n">
        <v>4798</v>
      </c>
      <c r="F215" s="8" t="n">
        <v>6239</v>
      </c>
      <c r="G215" s="8" t="n">
        <v>10180</v>
      </c>
      <c r="H215" s="8" t="n">
        <v>9165</v>
      </c>
      <c r="I215" s="8" t="n">
        <v>6925</v>
      </c>
      <c r="J215" s="8" t="n">
        <v>6217</v>
      </c>
      <c r="K215" s="8" t="n">
        <v>5221</v>
      </c>
      <c r="L215" s="8" t="n">
        <v>11137</v>
      </c>
      <c r="M215" s="8" t="n">
        <v>4370</v>
      </c>
      <c r="N215" s="8" t="n">
        <v>9105</v>
      </c>
      <c r="O215" s="8" t="n">
        <f aca="false">E215+G215+I215+K215+M215</f>
        <v>31494</v>
      </c>
      <c r="P215" s="8" t="n">
        <f aca="false">F215+H215+J215+L215+N215</f>
        <v>41863</v>
      </c>
      <c r="Q215" s="8" t="n">
        <f aca="false">SUM(O215:P215)</f>
        <v>73357</v>
      </c>
      <c r="R215" s="9" t="n">
        <f aca="false">(O215/Q215)*100</f>
        <v>42.9325081450986</v>
      </c>
      <c r="S215" s="9" t="n">
        <f aca="false">(P215/Q215)*100</f>
        <v>57.0674918549014</v>
      </c>
    </row>
    <row r="216" customFormat="false" ht="12.8" hidden="false" customHeight="false" outlineLevel="0" collapsed="false">
      <c r="A216" s="6" t="s">
        <v>101</v>
      </c>
      <c r="B216" s="7" t="s">
        <v>474</v>
      </c>
      <c r="C216" s="6" t="s">
        <v>480</v>
      </c>
      <c r="D216" s="7" t="s">
        <v>481</v>
      </c>
      <c r="E216" s="8" t="n">
        <v>3634</v>
      </c>
      <c r="F216" s="8" t="n">
        <v>3944</v>
      </c>
      <c r="G216" s="8" t="n">
        <v>6957</v>
      </c>
      <c r="H216" s="8" t="n">
        <v>6207</v>
      </c>
      <c r="I216" s="8" t="n">
        <v>4212</v>
      </c>
      <c r="J216" s="8" t="n">
        <v>4147</v>
      </c>
      <c r="K216" s="8" t="n">
        <v>3468</v>
      </c>
      <c r="L216" s="8" t="n">
        <v>7415</v>
      </c>
      <c r="M216" s="8" t="n">
        <v>3046</v>
      </c>
      <c r="N216" s="8" t="n">
        <v>6184</v>
      </c>
      <c r="O216" s="8" t="n">
        <f aca="false">E216+G216+I216+K216+M216</f>
        <v>21317</v>
      </c>
      <c r="P216" s="8" t="n">
        <f aca="false">F216+H216+J216+L216+N216</f>
        <v>27897</v>
      </c>
      <c r="Q216" s="8" t="n">
        <f aca="false">SUM(O216:P216)</f>
        <v>49214</v>
      </c>
      <c r="R216" s="9" t="n">
        <f aca="false">(O216/Q216)*100</f>
        <v>43.3149103913521</v>
      </c>
      <c r="S216" s="9" t="n">
        <f aca="false">(P216/Q216)*100</f>
        <v>56.6850896086479</v>
      </c>
    </row>
    <row r="217" customFormat="false" ht="12.8" hidden="false" customHeight="false" outlineLevel="0" collapsed="false">
      <c r="A217" s="6" t="s">
        <v>101</v>
      </c>
      <c r="B217" s="7" t="s">
        <v>474</v>
      </c>
      <c r="C217" s="6" t="s">
        <v>482</v>
      </c>
      <c r="D217" s="7" t="s">
        <v>483</v>
      </c>
      <c r="E217" s="8" t="n">
        <v>2717</v>
      </c>
      <c r="F217" s="8" t="n">
        <v>2924</v>
      </c>
      <c r="G217" s="8" t="n">
        <v>5713</v>
      </c>
      <c r="H217" s="8" t="n">
        <v>4688</v>
      </c>
      <c r="I217" s="8" t="n">
        <v>3679</v>
      </c>
      <c r="J217" s="8" t="n">
        <v>3286</v>
      </c>
      <c r="K217" s="8" t="n">
        <v>3157</v>
      </c>
      <c r="L217" s="8" t="n">
        <v>7058</v>
      </c>
      <c r="M217" s="8" t="n">
        <v>2657</v>
      </c>
      <c r="N217" s="8" t="n">
        <v>5615</v>
      </c>
      <c r="O217" s="8" t="n">
        <f aca="false">E217+G217+I217+K217+M217</f>
        <v>17923</v>
      </c>
      <c r="P217" s="8" t="n">
        <f aca="false">F217+H217+J217+L217+N217</f>
        <v>23571</v>
      </c>
      <c r="Q217" s="8" t="n">
        <f aca="false">SUM(O217:P217)</f>
        <v>41494</v>
      </c>
      <c r="R217" s="9" t="n">
        <f aca="false">(O217/Q217)*100</f>
        <v>43.1941967513375</v>
      </c>
      <c r="S217" s="9" t="n">
        <f aca="false">(P217/Q217)*100</f>
        <v>56.8058032486625</v>
      </c>
    </row>
    <row r="218" customFormat="false" ht="12.8" hidden="false" customHeight="false" outlineLevel="0" collapsed="false">
      <c r="A218" s="6" t="s">
        <v>104</v>
      </c>
      <c r="B218" s="7" t="s">
        <v>484</v>
      </c>
      <c r="C218" s="6" t="s">
        <v>485</v>
      </c>
      <c r="D218" s="7" t="s">
        <v>486</v>
      </c>
      <c r="E218" s="8" t="n">
        <v>5236</v>
      </c>
      <c r="F218" s="8" t="n">
        <v>6864</v>
      </c>
      <c r="G218" s="8" t="n">
        <v>10599</v>
      </c>
      <c r="H218" s="8" t="n">
        <v>11766</v>
      </c>
      <c r="I218" s="8" t="n">
        <v>5571</v>
      </c>
      <c r="J218" s="8" t="n">
        <v>6308</v>
      </c>
      <c r="K218" s="8" t="n">
        <v>3868</v>
      </c>
      <c r="L218" s="8" t="n">
        <v>6441</v>
      </c>
      <c r="M218" s="8" t="n">
        <v>3752</v>
      </c>
      <c r="N218" s="8" t="n">
        <v>5815</v>
      </c>
      <c r="O218" s="8" t="n">
        <f aca="false">E218+G218+I218+K218+M218</f>
        <v>29026</v>
      </c>
      <c r="P218" s="8" t="n">
        <f aca="false">F218+H218+J218+L218+N218</f>
        <v>37194</v>
      </c>
      <c r="Q218" s="8" t="n">
        <f aca="false">SUM(O218:P218)</f>
        <v>66220</v>
      </c>
      <c r="R218" s="9" t="n">
        <f aca="false">(O218/Q218)*100</f>
        <v>43.832678948958</v>
      </c>
      <c r="S218" s="9" t="n">
        <f aca="false">(P218/Q218)*100</f>
        <v>56.167321051042</v>
      </c>
    </row>
    <row r="219" customFormat="false" ht="12.8" hidden="false" customHeight="false" outlineLevel="0" collapsed="false">
      <c r="A219" s="6" t="s">
        <v>104</v>
      </c>
      <c r="B219" s="7" t="s">
        <v>484</v>
      </c>
      <c r="C219" s="6" t="s">
        <v>487</v>
      </c>
      <c r="D219" s="7" t="s">
        <v>488</v>
      </c>
      <c r="E219" s="8" t="n">
        <v>3163</v>
      </c>
      <c r="F219" s="8" t="n">
        <v>3951</v>
      </c>
      <c r="G219" s="8" t="n">
        <v>5730</v>
      </c>
      <c r="H219" s="8" t="n">
        <v>6416</v>
      </c>
      <c r="I219" s="8" t="n">
        <v>3638</v>
      </c>
      <c r="J219" s="8" t="n">
        <v>4025</v>
      </c>
      <c r="K219" s="8" t="n">
        <v>2681</v>
      </c>
      <c r="L219" s="8" t="n">
        <v>4793</v>
      </c>
      <c r="M219" s="8" t="n">
        <v>2410</v>
      </c>
      <c r="N219" s="8" t="n">
        <v>4133</v>
      </c>
      <c r="O219" s="8" t="n">
        <f aca="false">E219+G219+I219+K219+M219</f>
        <v>17622</v>
      </c>
      <c r="P219" s="8" t="n">
        <f aca="false">F219+H219+J219+L219+N219</f>
        <v>23318</v>
      </c>
      <c r="Q219" s="8" t="n">
        <f aca="false">SUM(O219:P219)</f>
        <v>40940</v>
      </c>
      <c r="R219" s="9" t="n">
        <f aca="false">(O219/Q219)*100</f>
        <v>43.0434782608696</v>
      </c>
      <c r="S219" s="9" t="n">
        <f aca="false">(P219/Q219)*100</f>
        <v>56.9565217391304</v>
      </c>
    </row>
    <row r="220" customFormat="false" ht="12.8" hidden="false" customHeight="false" outlineLevel="0" collapsed="false">
      <c r="A220" s="6" t="s">
        <v>104</v>
      </c>
      <c r="B220" s="7" t="s">
        <v>484</v>
      </c>
      <c r="C220" s="6" t="s">
        <v>489</v>
      </c>
      <c r="D220" s="7" t="s">
        <v>490</v>
      </c>
      <c r="E220" s="8" t="n">
        <v>4660</v>
      </c>
      <c r="F220" s="8" t="n">
        <v>5893</v>
      </c>
      <c r="G220" s="8" t="n">
        <v>8922</v>
      </c>
      <c r="H220" s="8" t="n">
        <v>8784</v>
      </c>
      <c r="I220" s="8" t="n">
        <v>5220</v>
      </c>
      <c r="J220" s="8" t="n">
        <v>5698</v>
      </c>
      <c r="K220" s="8" t="n">
        <v>3581</v>
      </c>
      <c r="L220" s="8" t="n">
        <v>6060</v>
      </c>
      <c r="M220" s="8" t="n">
        <v>3387</v>
      </c>
      <c r="N220" s="8" t="n">
        <v>5271</v>
      </c>
      <c r="O220" s="8" t="n">
        <f aca="false">E220+G220+I220+K220+M220</f>
        <v>25770</v>
      </c>
      <c r="P220" s="8" t="n">
        <f aca="false">F220+H220+J220+L220+N220</f>
        <v>31706</v>
      </c>
      <c r="Q220" s="8" t="n">
        <f aca="false">SUM(O220:P220)</f>
        <v>57476</v>
      </c>
      <c r="R220" s="9" t="n">
        <f aca="false">(O220/Q220)*100</f>
        <v>44.8361055049064</v>
      </c>
      <c r="S220" s="9" t="n">
        <f aca="false">(P220/Q220)*100</f>
        <v>55.1638944950936</v>
      </c>
    </row>
    <row r="221" customFormat="false" ht="12.8" hidden="false" customHeight="false" outlineLevel="0" collapsed="false">
      <c r="A221" s="6" t="s">
        <v>104</v>
      </c>
      <c r="B221" s="7" t="s">
        <v>484</v>
      </c>
      <c r="C221" s="6" t="s">
        <v>491</v>
      </c>
      <c r="D221" s="7" t="s">
        <v>492</v>
      </c>
      <c r="E221" s="8" t="n">
        <v>5578</v>
      </c>
      <c r="F221" s="8" t="n">
        <v>6906</v>
      </c>
      <c r="G221" s="8" t="n">
        <v>11907</v>
      </c>
      <c r="H221" s="8" t="n">
        <v>11232</v>
      </c>
      <c r="I221" s="8" t="n">
        <v>5330</v>
      </c>
      <c r="J221" s="8" t="n">
        <v>6709</v>
      </c>
      <c r="K221" s="8" t="n">
        <v>4567</v>
      </c>
      <c r="L221" s="8" t="n">
        <v>7812</v>
      </c>
      <c r="M221" s="8" t="n">
        <v>4047</v>
      </c>
      <c r="N221" s="8" t="n">
        <v>6595</v>
      </c>
      <c r="O221" s="8" t="n">
        <f aca="false">E221+G221+I221+K221+M221</f>
        <v>31429</v>
      </c>
      <c r="P221" s="8" t="n">
        <f aca="false">F221+H221+J221+L221+N221</f>
        <v>39254</v>
      </c>
      <c r="Q221" s="8" t="n">
        <f aca="false">SUM(O221:P221)</f>
        <v>70683</v>
      </c>
      <c r="R221" s="9" t="n">
        <f aca="false">(O221/Q221)*100</f>
        <v>44.4647227763394</v>
      </c>
      <c r="S221" s="9" t="n">
        <f aca="false">(P221/Q221)*100</f>
        <v>55.5352772236606</v>
      </c>
    </row>
    <row r="222" customFormat="false" ht="12.8" hidden="false" customHeight="false" outlineLevel="0" collapsed="false">
      <c r="A222" s="6" t="s">
        <v>104</v>
      </c>
      <c r="B222" s="7" t="s">
        <v>484</v>
      </c>
      <c r="C222" s="6" t="s">
        <v>493</v>
      </c>
      <c r="D222" s="7" t="s">
        <v>494</v>
      </c>
      <c r="E222" s="8" t="n">
        <v>9073</v>
      </c>
      <c r="F222" s="8" t="n">
        <v>11166</v>
      </c>
      <c r="G222" s="8" t="n">
        <v>19172</v>
      </c>
      <c r="H222" s="8" t="n">
        <v>19431</v>
      </c>
      <c r="I222" s="8" t="n">
        <v>9054</v>
      </c>
      <c r="J222" s="8" t="n">
        <v>10356</v>
      </c>
      <c r="K222" s="8" t="n">
        <v>6022</v>
      </c>
      <c r="L222" s="8" t="n">
        <v>8251</v>
      </c>
      <c r="M222" s="8" t="n">
        <v>5857</v>
      </c>
      <c r="N222" s="8" t="n">
        <v>7183</v>
      </c>
      <c r="O222" s="8" t="n">
        <f aca="false">E222+G222+I222+K222+M222</f>
        <v>49178</v>
      </c>
      <c r="P222" s="8" t="n">
        <f aca="false">F222+H222+J222+L222+N222</f>
        <v>56387</v>
      </c>
      <c r="Q222" s="8" t="n">
        <f aca="false">SUM(O222:P222)</f>
        <v>105565</v>
      </c>
      <c r="R222" s="9" t="n">
        <f aca="false">(O222/Q222)*100</f>
        <v>46.585516032776</v>
      </c>
      <c r="S222" s="9" t="n">
        <f aca="false">(P222/Q222)*100</f>
        <v>53.414483967224</v>
      </c>
    </row>
    <row r="223" customFormat="false" ht="12.8" hidden="false" customHeight="false" outlineLevel="0" collapsed="false">
      <c r="A223" s="6" t="s">
        <v>104</v>
      </c>
      <c r="B223" s="7" t="s">
        <v>484</v>
      </c>
      <c r="C223" s="6" t="s">
        <v>495</v>
      </c>
      <c r="D223" s="7" t="s">
        <v>496</v>
      </c>
      <c r="E223" s="8" t="n">
        <v>3143</v>
      </c>
      <c r="F223" s="8" t="n">
        <v>3779</v>
      </c>
      <c r="G223" s="8" t="n">
        <v>6795</v>
      </c>
      <c r="H223" s="8" t="n">
        <v>6402</v>
      </c>
      <c r="I223" s="8" t="n">
        <v>3984</v>
      </c>
      <c r="J223" s="8" t="n">
        <v>4198</v>
      </c>
      <c r="K223" s="8" t="n">
        <v>2766</v>
      </c>
      <c r="L223" s="8" t="n">
        <v>4362</v>
      </c>
      <c r="M223" s="8" t="n">
        <v>2722</v>
      </c>
      <c r="N223" s="8" t="n">
        <v>4112</v>
      </c>
      <c r="O223" s="8" t="n">
        <f aca="false">E223+G223+I223+K223+M223</f>
        <v>19410</v>
      </c>
      <c r="P223" s="8" t="n">
        <f aca="false">F223+H223+J223+L223+N223</f>
        <v>22853</v>
      </c>
      <c r="Q223" s="8" t="n">
        <f aca="false">SUM(O223:P223)</f>
        <v>42263</v>
      </c>
      <c r="R223" s="9" t="n">
        <f aca="false">(O223/Q223)*100</f>
        <v>45.9266971109481</v>
      </c>
      <c r="S223" s="9" t="n">
        <f aca="false">(P223/Q223)*100</f>
        <v>54.0733028890519</v>
      </c>
    </row>
    <row r="224" customFormat="false" ht="12.8" hidden="false" customHeight="false" outlineLevel="0" collapsed="false">
      <c r="A224" s="6" t="s">
        <v>104</v>
      </c>
      <c r="B224" s="7" t="s">
        <v>484</v>
      </c>
      <c r="C224" s="6" t="s">
        <v>497</v>
      </c>
      <c r="D224" s="7" t="s">
        <v>498</v>
      </c>
      <c r="E224" s="8" t="n">
        <v>3653</v>
      </c>
      <c r="F224" s="8" t="n">
        <v>4638</v>
      </c>
      <c r="G224" s="8" t="n">
        <v>8050</v>
      </c>
      <c r="H224" s="8" t="n">
        <v>8427</v>
      </c>
      <c r="I224" s="8" t="n">
        <v>4510</v>
      </c>
      <c r="J224" s="8" t="n">
        <v>5398</v>
      </c>
      <c r="K224" s="8" t="n">
        <v>3001</v>
      </c>
      <c r="L224" s="8" t="n">
        <v>5086</v>
      </c>
      <c r="M224" s="8" t="n">
        <v>3104</v>
      </c>
      <c r="N224" s="8" t="n">
        <v>4599</v>
      </c>
      <c r="O224" s="8" t="n">
        <f aca="false">E224+G224+I224+K224+M224</f>
        <v>22318</v>
      </c>
      <c r="P224" s="8" t="n">
        <f aca="false">F224+H224+J224+L224+N224</f>
        <v>28148</v>
      </c>
      <c r="Q224" s="8" t="n">
        <f aca="false">SUM(O224:P224)</f>
        <v>50466</v>
      </c>
      <c r="R224" s="9" t="n">
        <f aca="false">(O224/Q224)*100</f>
        <v>44.223833868347</v>
      </c>
      <c r="S224" s="9" t="n">
        <f aca="false">(P224/Q224)*100</f>
        <v>55.776166131653</v>
      </c>
    </row>
    <row r="225" customFormat="false" ht="12.8" hidden="false" customHeight="false" outlineLevel="0" collapsed="false">
      <c r="A225" s="6" t="s">
        <v>104</v>
      </c>
      <c r="B225" s="7" t="s">
        <v>484</v>
      </c>
      <c r="C225" s="6" t="s">
        <v>499</v>
      </c>
      <c r="D225" s="7" t="s">
        <v>500</v>
      </c>
      <c r="E225" s="8" t="n">
        <v>4052</v>
      </c>
      <c r="F225" s="8" t="n">
        <v>4923</v>
      </c>
      <c r="G225" s="8" t="n">
        <v>8222</v>
      </c>
      <c r="H225" s="8" t="n">
        <v>8025</v>
      </c>
      <c r="I225" s="8" t="n">
        <v>4900</v>
      </c>
      <c r="J225" s="8" t="n">
        <v>5014</v>
      </c>
      <c r="K225" s="8" t="n">
        <v>3581</v>
      </c>
      <c r="L225" s="8" t="n">
        <v>5227</v>
      </c>
      <c r="M225" s="8" t="n">
        <v>3366</v>
      </c>
      <c r="N225" s="8" t="n">
        <v>4958</v>
      </c>
      <c r="O225" s="8" t="n">
        <f aca="false">E225+G225+I225+K225+M225</f>
        <v>24121</v>
      </c>
      <c r="P225" s="8" t="n">
        <f aca="false">F225+H225+J225+L225+N225</f>
        <v>28147</v>
      </c>
      <c r="Q225" s="8" t="n">
        <f aca="false">SUM(O225:P225)</f>
        <v>52268</v>
      </c>
      <c r="R225" s="9" t="n">
        <f aca="false">(O225/Q225)*100</f>
        <v>46.1486951863473</v>
      </c>
      <c r="S225" s="9" t="n">
        <f aca="false">(P225/Q225)*100</f>
        <v>53.8513048136527</v>
      </c>
    </row>
    <row r="226" customFormat="false" ht="12.8" hidden="false" customHeight="false" outlineLevel="0" collapsed="false">
      <c r="A226" s="6" t="s">
        <v>104</v>
      </c>
      <c r="B226" s="7" t="s">
        <v>484</v>
      </c>
      <c r="C226" s="6" t="s">
        <v>501</v>
      </c>
      <c r="D226" s="7" t="s">
        <v>502</v>
      </c>
      <c r="E226" s="8" t="n">
        <v>5166</v>
      </c>
      <c r="F226" s="8" t="n">
        <v>6606</v>
      </c>
      <c r="G226" s="8" t="n">
        <v>11077</v>
      </c>
      <c r="H226" s="8" t="n">
        <v>10782</v>
      </c>
      <c r="I226" s="8" t="n">
        <v>7253</v>
      </c>
      <c r="J226" s="8" t="n">
        <v>6774</v>
      </c>
      <c r="K226" s="8" t="n">
        <v>6209</v>
      </c>
      <c r="L226" s="8" t="n">
        <v>7868</v>
      </c>
      <c r="M226" s="8" t="n">
        <v>5165</v>
      </c>
      <c r="N226" s="8" t="n">
        <v>7069</v>
      </c>
      <c r="O226" s="8" t="n">
        <f aca="false">E226+G226+I226+K226+M226</f>
        <v>34870</v>
      </c>
      <c r="P226" s="8" t="n">
        <f aca="false">F226+H226+J226+L226+N226</f>
        <v>39099</v>
      </c>
      <c r="Q226" s="8" t="n">
        <f aca="false">SUM(O226:P226)</f>
        <v>73969</v>
      </c>
      <c r="R226" s="9" t="n">
        <f aca="false">(O226/Q226)*100</f>
        <v>47.1413700333924</v>
      </c>
      <c r="S226" s="9" t="n">
        <f aca="false">(P226/Q226)*100</f>
        <v>52.8586299666076</v>
      </c>
    </row>
    <row r="227" customFormat="false" ht="12.8" hidden="false" customHeight="false" outlineLevel="0" collapsed="false">
      <c r="A227" s="6" t="s">
        <v>106</v>
      </c>
      <c r="B227" s="7" t="s">
        <v>503</v>
      </c>
      <c r="C227" s="6" t="s">
        <v>504</v>
      </c>
      <c r="D227" s="7" t="s">
        <v>505</v>
      </c>
      <c r="E227" s="8" t="n">
        <v>4519</v>
      </c>
      <c r="F227" s="8" t="n">
        <v>5132</v>
      </c>
      <c r="G227" s="8" t="n">
        <v>8274</v>
      </c>
      <c r="H227" s="8" t="n">
        <v>8004</v>
      </c>
      <c r="I227" s="8" t="n">
        <v>4280</v>
      </c>
      <c r="J227" s="8" t="n">
        <v>4569</v>
      </c>
      <c r="K227" s="8" t="n">
        <v>3056</v>
      </c>
      <c r="L227" s="8" t="n">
        <v>4852</v>
      </c>
      <c r="M227" s="8" t="n">
        <v>2792</v>
      </c>
      <c r="N227" s="8" t="n">
        <v>4355</v>
      </c>
      <c r="O227" s="8" t="n">
        <f aca="false">E227+G227+I227+K227+M227</f>
        <v>22921</v>
      </c>
      <c r="P227" s="8" t="n">
        <f aca="false">F227+H227+J227+L227+N227</f>
        <v>26912</v>
      </c>
      <c r="Q227" s="8" t="n">
        <f aca="false">SUM(O227:P227)</f>
        <v>49833</v>
      </c>
      <c r="R227" s="9" t="n">
        <f aca="false">(O227/Q227)*100</f>
        <v>45.9956253887986</v>
      </c>
      <c r="S227" s="9" t="n">
        <f aca="false">(P227/Q227)*100</f>
        <v>54.0043746112014</v>
      </c>
    </row>
    <row r="228" customFormat="false" ht="12.8" hidden="false" customHeight="false" outlineLevel="0" collapsed="false">
      <c r="A228" s="6" t="s">
        <v>106</v>
      </c>
      <c r="B228" s="7" t="s">
        <v>503</v>
      </c>
      <c r="C228" s="6" t="s">
        <v>506</v>
      </c>
      <c r="D228" s="7" t="s">
        <v>507</v>
      </c>
      <c r="E228" s="8" t="n">
        <v>4973</v>
      </c>
      <c r="F228" s="8" t="n">
        <v>6206</v>
      </c>
      <c r="G228" s="8" t="n">
        <v>10486</v>
      </c>
      <c r="H228" s="8" t="n">
        <v>9790</v>
      </c>
      <c r="I228" s="8" t="n">
        <v>5222</v>
      </c>
      <c r="J228" s="8" t="n">
        <v>5614</v>
      </c>
      <c r="K228" s="8" t="n">
        <v>4004</v>
      </c>
      <c r="L228" s="8" t="n">
        <v>6168</v>
      </c>
      <c r="M228" s="8" t="n">
        <v>3659</v>
      </c>
      <c r="N228" s="8" t="n">
        <v>5220</v>
      </c>
      <c r="O228" s="8" t="n">
        <f aca="false">E228+G228+I228+K228+M228</f>
        <v>28344</v>
      </c>
      <c r="P228" s="8" t="n">
        <f aca="false">F228+H228+J228+L228+N228</f>
        <v>32998</v>
      </c>
      <c r="Q228" s="8" t="n">
        <f aca="false">SUM(O228:P228)</f>
        <v>61342</v>
      </c>
      <c r="R228" s="9" t="n">
        <f aca="false">(O228/Q228)*100</f>
        <v>46.2065142968928</v>
      </c>
      <c r="S228" s="9" t="n">
        <f aca="false">(P228/Q228)*100</f>
        <v>53.7934857031072</v>
      </c>
    </row>
    <row r="229" customFormat="false" ht="12.8" hidden="false" customHeight="false" outlineLevel="0" collapsed="false">
      <c r="A229" s="6" t="s">
        <v>106</v>
      </c>
      <c r="B229" s="7" t="s">
        <v>503</v>
      </c>
      <c r="C229" s="6" t="s">
        <v>508</v>
      </c>
      <c r="D229" s="7" t="s">
        <v>509</v>
      </c>
      <c r="E229" s="8" t="n">
        <v>3788</v>
      </c>
      <c r="F229" s="8" t="n">
        <v>4437</v>
      </c>
      <c r="G229" s="8" t="n">
        <v>6670</v>
      </c>
      <c r="H229" s="8" t="n">
        <v>5756</v>
      </c>
      <c r="I229" s="8" t="n">
        <v>3993</v>
      </c>
      <c r="J229" s="8" t="n">
        <v>3701</v>
      </c>
      <c r="K229" s="8" t="n">
        <v>2893</v>
      </c>
      <c r="L229" s="8" t="n">
        <v>4504</v>
      </c>
      <c r="M229" s="8" t="n">
        <v>2600</v>
      </c>
      <c r="N229" s="8" t="n">
        <v>3917</v>
      </c>
      <c r="O229" s="8" t="n">
        <f aca="false">E229+G229+I229+K229+M229</f>
        <v>19944</v>
      </c>
      <c r="P229" s="8" t="n">
        <f aca="false">F229+H229+J229+L229+N229</f>
        <v>22315</v>
      </c>
      <c r="Q229" s="8" t="n">
        <f aca="false">SUM(O229:P229)</f>
        <v>42259</v>
      </c>
      <c r="R229" s="9" t="n">
        <f aca="false">(O229/Q229)*100</f>
        <v>47.1946804231051</v>
      </c>
      <c r="S229" s="9" t="n">
        <f aca="false">(P229/Q229)*100</f>
        <v>52.8053195768949</v>
      </c>
    </row>
    <row r="230" customFormat="false" ht="12.8" hidden="false" customHeight="false" outlineLevel="0" collapsed="false">
      <c r="A230" s="6" t="s">
        <v>106</v>
      </c>
      <c r="B230" s="7" t="s">
        <v>503</v>
      </c>
      <c r="C230" s="6" t="s">
        <v>510</v>
      </c>
      <c r="D230" s="7" t="s">
        <v>511</v>
      </c>
      <c r="E230" s="8" t="n">
        <v>4490</v>
      </c>
      <c r="F230" s="8" t="n">
        <v>5379</v>
      </c>
      <c r="G230" s="8" t="n">
        <v>9933</v>
      </c>
      <c r="H230" s="8" t="n">
        <v>9415</v>
      </c>
      <c r="I230" s="8" t="n">
        <v>4975</v>
      </c>
      <c r="J230" s="8" t="n">
        <v>5648</v>
      </c>
      <c r="K230" s="8" t="n">
        <v>3891</v>
      </c>
      <c r="L230" s="8" t="n">
        <v>5408</v>
      </c>
      <c r="M230" s="8" t="n">
        <v>3339</v>
      </c>
      <c r="N230" s="8" t="n">
        <v>4363</v>
      </c>
      <c r="O230" s="8" t="n">
        <f aca="false">E230+G230+I230+K230+M230</f>
        <v>26628</v>
      </c>
      <c r="P230" s="8" t="n">
        <f aca="false">F230+H230+J230+L230+N230</f>
        <v>30213</v>
      </c>
      <c r="Q230" s="8" t="n">
        <f aca="false">SUM(O230:P230)</f>
        <v>56841</v>
      </c>
      <c r="R230" s="9" t="n">
        <f aca="false">(O230/Q230)*100</f>
        <v>46.84646645907</v>
      </c>
      <c r="S230" s="9" t="n">
        <f aca="false">(P230/Q230)*100</f>
        <v>53.15353354093</v>
      </c>
    </row>
    <row r="231" customFormat="false" ht="12.8" hidden="false" customHeight="false" outlineLevel="0" collapsed="false">
      <c r="A231" s="6" t="s">
        <v>106</v>
      </c>
      <c r="B231" s="7" t="s">
        <v>503</v>
      </c>
      <c r="C231" s="6" t="s">
        <v>512</v>
      </c>
      <c r="D231" s="7" t="s">
        <v>513</v>
      </c>
      <c r="E231" s="8" t="n">
        <v>4892</v>
      </c>
      <c r="F231" s="8" t="n">
        <v>5799</v>
      </c>
      <c r="G231" s="8" t="n">
        <v>8880</v>
      </c>
      <c r="H231" s="8" t="n">
        <v>7329</v>
      </c>
      <c r="I231" s="8" t="n">
        <v>4992</v>
      </c>
      <c r="J231" s="8" t="n">
        <v>4553</v>
      </c>
      <c r="K231" s="8" t="n">
        <v>4326</v>
      </c>
      <c r="L231" s="8" t="n">
        <v>7682</v>
      </c>
      <c r="M231" s="8" t="n">
        <v>3397</v>
      </c>
      <c r="N231" s="8" t="n">
        <v>5835</v>
      </c>
      <c r="O231" s="8" t="n">
        <f aca="false">E231+G231+I231+K231+M231</f>
        <v>26487</v>
      </c>
      <c r="P231" s="8" t="n">
        <f aca="false">F231+H231+J231+L231+N231</f>
        <v>31198</v>
      </c>
      <c r="Q231" s="8" t="n">
        <f aca="false">SUM(O231:P231)</f>
        <v>57685</v>
      </c>
      <c r="R231" s="9" t="n">
        <f aca="false">(O231/Q231)*100</f>
        <v>45.9166161047066</v>
      </c>
      <c r="S231" s="9" t="n">
        <f aca="false">(P231/Q231)*100</f>
        <v>54.0833838952934</v>
      </c>
    </row>
    <row r="232" customFormat="false" ht="12.8" hidden="false" customHeight="false" outlineLevel="0" collapsed="false">
      <c r="A232" s="6" t="s">
        <v>106</v>
      </c>
      <c r="B232" s="7" t="s">
        <v>503</v>
      </c>
      <c r="C232" s="6" t="s">
        <v>514</v>
      </c>
      <c r="D232" s="7" t="s">
        <v>515</v>
      </c>
      <c r="E232" s="8" t="n">
        <v>3444</v>
      </c>
      <c r="F232" s="8" t="n">
        <v>4239</v>
      </c>
      <c r="G232" s="8" t="n">
        <v>7000</v>
      </c>
      <c r="H232" s="8" t="n">
        <v>6297</v>
      </c>
      <c r="I232" s="8" t="n">
        <v>3466</v>
      </c>
      <c r="J232" s="8" t="n">
        <v>3552</v>
      </c>
      <c r="K232" s="8" t="n">
        <v>3395</v>
      </c>
      <c r="L232" s="8" t="n">
        <v>6225</v>
      </c>
      <c r="M232" s="8" t="n">
        <v>2644</v>
      </c>
      <c r="N232" s="8" t="n">
        <v>4409</v>
      </c>
      <c r="O232" s="8" t="n">
        <f aca="false">E232+G232+I232+K232+M232</f>
        <v>19949</v>
      </c>
      <c r="P232" s="8" t="n">
        <f aca="false">F232+H232+J232+L232+N232</f>
        <v>24722</v>
      </c>
      <c r="Q232" s="8" t="n">
        <f aca="false">SUM(O232:P232)</f>
        <v>44671</v>
      </c>
      <c r="R232" s="9" t="n">
        <f aca="false">(O232/Q232)*100</f>
        <v>44.6576078440151</v>
      </c>
      <c r="S232" s="9" t="n">
        <f aca="false">(P232/Q232)*100</f>
        <v>55.3423921559849</v>
      </c>
    </row>
    <row r="233" customFormat="false" ht="12.8" hidden="false" customHeight="false" outlineLevel="0" collapsed="false">
      <c r="A233" s="6" t="s">
        <v>106</v>
      </c>
      <c r="B233" s="7" t="s">
        <v>503</v>
      </c>
      <c r="C233" s="6" t="s">
        <v>516</v>
      </c>
      <c r="D233" s="7" t="s">
        <v>517</v>
      </c>
      <c r="E233" s="8" t="n">
        <v>2727</v>
      </c>
      <c r="F233" s="8" t="n">
        <v>3374</v>
      </c>
      <c r="G233" s="8" t="n">
        <v>6524</v>
      </c>
      <c r="H233" s="8" t="n">
        <v>6429</v>
      </c>
      <c r="I233" s="8" t="n">
        <v>3084</v>
      </c>
      <c r="J233" s="8" t="n">
        <v>3366</v>
      </c>
      <c r="K233" s="8" t="n">
        <v>2669</v>
      </c>
      <c r="L233" s="8" t="n">
        <v>4992</v>
      </c>
      <c r="M233" s="8" t="n">
        <v>2100</v>
      </c>
      <c r="N233" s="8" t="n">
        <v>3152</v>
      </c>
      <c r="O233" s="8" t="n">
        <f aca="false">E233+G233+I233+K233+M233</f>
        <v>17104</v>
      </c>
      <c r="P233" s="8" t="n">
        <f aca="false">F233+H233+J233+L233+N233</f>
        <v>21313</v>
      </c>
      <c r="Q233" s="8" t="n">
        <f aca="false">SUM(O233:P233)</f>
        <v>38417</v>
      </c>
      <c r="R233" s="9" t="n">
        <f aca="false">(O233/Q233)*100</f>
        <v>44.5219564255408</v>
      </c>
      <c r="S233" s="9" t="n">
        <f aca="false">(P233/Q233)*100</f>
        <v>55.4780435744592</v>
      </c>
    </row>
    <row r="234" customFormat="false" ht="12.8" hidden="false" customHeight="false" outlineLevel="0" collapsed="false">
      <c r="A234" s="6" t="s">
        <v>108</v>
      </c>
      <c r="B234" s="7" t="s">
        <v>518</v>
      </c>
      <c r="C234" s="6" t="s">
        <v>519</v>
      </c>
      <c r="D234" s="7" t="s">
        <v>520</v>
      </c>
      <c r="E234" s="8" t="n">
        <v>4707</v>
      </c>
      <c r="F234" s="8" t="n">
        <v>5085</v>
      </c>
      <c r="G234" s="8" t="n">
        <v>9024</v>
      </c>
      <c r="H234" s="8" t="n">
        <v>7060</v>
      </c>
      <c r="I234" s="8" t="n">
        <v>4939</v>
      </c>
      <c r="J234" s="8" t="n">
        <v>4313</v>
      </c>
      <c r="K234" s="8" t="n">
        <v>4144</v>
      </c>
      <c r="L234" s="8" t="n">
        <v>9695</v>
      </c>
      <c r="M234" s="8" t="n">
        <v>2932</v>
      </c>
      <c r="N234" s="8" t="n">
        <v>5704</v>
      </c>
      <c r="O234" s="8" t="n">
        <f aca="false">E234+G234+I234+K234+M234</f>
        <v>25746</v>
      </c>
      <c r="P234" s="8" t="n">
        <f aca="false">F234+H234+J234+L234+N234</f>
        <v>31857</v>
      </c>
      <c r="Q234" s="8" t="n">
        <f aca="false">SUM(O234:P234)</f>
        <v>57603</v>
      </c>
      <c r="R234" s="9" t="n">
        <f aca="false">(O234/Q234)*100</f>
        <v>44.6955887714182</v>
      </c>
      <c r="S234" s="9" t="n">
        <f aca="false">(P234/Q234)*100</f>
        <v>55.3044112285818</v>
      </c>
    </row>
    <row r="235" customFormat="false" ht="12.8" hidden="false" customHeight="false" outlineLevel="0" collapsed="false">
      <c r="A235" s="6" t="s">
        <v>108</v>
      </c>
      <c r="B235" s="7" t="s">
        <v>518</v>
      </c>
      <c r="C235" s="6" t="s">
        <v>521</v>
      </c>
      <c r="D235" s="7" t="s">
        <v>522</v>
      </c>
      <c r="E235" s="8" t="n">
        <v>4213</v>
      </c>
      <c r="F235" s="8" t="n">
        <v>4437</v>
      </c>
      <c r="G235" s="8" t="n">
        <v>8012</v>
      </c>
      <c r="H235" s="8" t="n">
        <v>6623</v>
      </c>
      <c r="I235" s="8" t="n">
        <v>4262</v>
      </c>
      <c r="J235" s="8" t="n">
        <v>4116</v>
      </c>
      <c r="K235" s="8" t="n">
        <v>3398</v>
      </c>
      <c r="L235" s="8" t="n">
        <v>7918</v>
      </c>
      <c r="M235" s="8" t="n">
        <v>2486</v>
      </c>
      <c r="N235" s="8" t="n">
        <v>5022</v>
      </c>
      <c r="O235" s="8" t="n">
        <f aca="false">E235+G235+I235+K235+M235</f>
        <v>22371</v>
      </c>
      <c r="P235" s="8" t="n">
        <f aca="false">F235+H235+J235+L235+N235</f>
        <v>28116</v>
      </c>
      <c r="Q235" s="8" t="n">
        <f aca="false">SUM(O235:P235)</f>
        <v>50487</v>
      </c>
      <c r="R235" s="9" t="n">
        <f aca="false">(O235/Q235)*100</f>
        <v>44.3104165428724</v>
      </c>
      <c r="S235" s="9" t="n">
        <f aca="false">(P235/Q235)*100</f>
        <v>55.6895834571276</v>
      </c>
    </row>
    <row r="236" customFormat="false" ht="12.8" hidden="false" customHeight="false" outlineLevel="0" collapsed="false">
      <c r="A236" s="6" t="s">
        <v>108</v>
      </c>
      <c r="B236" s="7" t="s">
        <v>518</v>
      </c>
      <c r="C236" s="6" t="s">
        <v>523</v>
      </c>
      <c r="D236" s="7" t="s">
        <v>524</v>
      </c>
      <c r="E236" s="8" t="n">
        <v>8733</v>
      </c>
      <c r="F236" s="8" t="n">
        <v>9377</v>
      </c>
      <c r="G236" s="8" t="n">
        <v>16136</v>
      </c>
      <c r="H236" s="8" t="n">
        <v>14036</v>
      </c>
      <c r="I236" s="8" t="n">
        <v>8415</v>
      </c>
      <c r="J236" s="8" t="n">
        <v>8165</v>
      </c>
      <c r="K236" s="8" t="n">
        <v>6755</v>
      </c>
      <c r="L236" s="8" t="n">
        <v>16344</v>
      </c>
      <c r="M236" s="8" t="n">
        <v>5130</v>
      </c>
      <c r="N236" s="8" t="n">
        <v>10243</v>
      </c>
      <c r="O236" s="8" t="n">
        <f aca="false">E236+G236+I236+K236+M236</f>
        <v>45169</v>
      </c>
      <c r="P236" s="8" t="n">
        <f aca="false">F236+H236+J236+L236+N236</f>
        <v>58165</v>
      </c>
      <c r="Q236" s="8" t="n">
        <f aca="false">SUM(O236:P236)</f>
        <v>103334</v>
      </c>
      <c r="R236" s="9" t="n">
        <f aca="false">(O236/Q236)*100</f>
        <v>43.7116534732034</v>
      </c>
      <c r="S236" s="9" t="n">
        <f aca="false">(P236/Q236)*100</f>
        <v>56.2883465267966</v>
      </c>
    </row>
    <row r="237" customFormat="false" ht="12.8" hidden="false" customHeight="false" outlineLevel="0" collapsed="false">
      <c r="A237" s="6" t="s">
        <v>108</v>
      </c>
      <c r="B237" s="7" t="s">
        <v>518</v>
      </c>
      <c r="C237" s="6" t="s">
        <v>525</v>
      </c>
      <c r="D237" s="7" t="s">
        <v>526</v>
      </c>
      <c r="E237" s="8" t="n">
        <v>6431</v>
      </c>
      <c r="F237" s="8" t="n">
        <v>7491</v>
      </c>
      <c r="G237" s="8" t="n">
        <v>11683</v>
      </c>
      <c r="H237" s="8" t="n">
        <v>10840</v>
      </c>
      <c r="I237" s="8" t="n">
        <v>6753</v>
      </c>
      <c r="J237" s="8" t="n">
        <v>6730</v>
      </c>
      <c r="K237" s="8" t="n">
        <v>5254</v>
      </c>
      <c r="L237" s="8" t="n">
        <v>12115</v>
      </c>
      <c r="M237" s="8" t="n">
        <v>4261</v>
      </c>
      <c r="N237" s="8" t="n">
        <v>8914</v>
      </c>
      <c r="O237" s="8" t="n">
        <f aca="false">E237+G237+I237+K237+M237</f>
        <v>34382</v>
      </c>
      <c r="P237" s="8" t="n">
        <f aca="false">F237+H237+J237+L237+N237</f>
        <v>46090</v>
      </c>
      <c r="Q237" s="8" t="n">
        <f aca="false">SUM(O237:P237)</f>
        <v>80472</v>
      </c>
      <c r="R237" s="9" t="n">
        <f aca="false">(O237/Q237)*100</f>
        <v>42.725420021871</v>
      </c>
      <c r="S237" s="9" t="n">
        <f aca="false">(P237/Q237)*100</f>
        <v>57.274579978129</v>
      </c>
    </row>
    <row r="238" customFormat="false" ht="12.8" hidden="false" customHeight="false" outlineLevel="0" collapsed="false">
      <c r="A238" s="6" t="s">
        <v>108</v>
      </c>
      <c r="B238" s="7" t="s">
        <v>518</v>
      </c>
      <c r="C238" s="6" t="s">
        <v>527</v>
      </c>
      <c r="D238" s="7" t="s">
        <v>528</v>
      </c>
      <c r="E238" s="8" t="n">
        <v>10555</v>
      </c>
      <c r="F238" s="8" t="n">
        <v>10775</v>
      </c>
      <c r="G238" s="8" t="n">
        <v>16129</v>
      </c>
      <c r="H238" s="8" t="n">
        <v>14535</v>
      </c>
      <c r="I238" s="8" t="n">
        <v>6998</v>
      </c>
      <c r="J238" s="8" t="n">
        <v>7654</v>
      </c>
      <c r="K238" s="8" t="n">
        <v>4595</v>
      </c>
      <c r="L238" s="8" t="n">
        <v>9219</v>
      </c>
      <c r="M238" s="8" t="n">
        <v>3620</v>
      </c>
      <c r="N238" s="8" t="n">
        <v>6198</v>
      </c>
      <c r="O238" s="8" t="n">
        <f aca="false">E238+G238+I238+K238+M238</f>
        <v>41897</v>
      </c>
      <c r="P238" s="8" t="n">
        <f aca="false">F238+H238+J238+L238+N238</f>
        <v>48381</v>
      </c>
      <c r="Q238" s="8" t="n">
        <f aca="false">SUM(O238:P238)</f>
        <v>90278</v>
      </c>
      <c r="R238" s="9" t="n">
        <f aca="false">(O238/Q238)*100</f>
        <v>46.4088703781652</v>
      </c>
      <c r="S238" s="9" t="n">
        <f aca="false">(P238/Q238)*100</f>
        <v>53.5911296218348</v>
      </c>
    </row>
    <row r="239" customFormat="false" ht="12.8" hidden="false" customHeight="false" outlineLevel="0" collapsed="false">
      <c r="A239" s="6" t="s">
        <v>108</v>
      </c>
      <c r="B239" s="7" t="s">
        <v>518</v>
      </c>
      <c r="C239" s="6" t="s">
        <v>529</v>
      </c>
      <c r="D239" s="7" t="s">
        <v>530</v>
      </c>
      <c r="E239" s="8" t="n">
        <v>8030</v>
      </c>
      <c r="F239" s="8" t="n">
        <v>8444</v>
      </c>
      <c r="G239" s="8" t="n">
        <v>12301</v>
      </c>
      <c r="H239" s="8" t="n">
        <v>10521</v>
      </c>
      <c r="I239" s="8" t="n">
        <v>5899</v>
      </c>
      <c r="J239" s="8" t="n">
        <v>5999</v>
      </c>
      <c r="K239" s="8" t="n">
        <v>4259</v>
      </c>
      <c r="L239" s="8" t="n">
        <v>10290</v>
      </c>
      <c r="M239" s="8" t="n">
        <v>3239</v>
      </c>
      <c r="N239" s="8" t="n">
        <v>6797</v>
      </c>
      <c r="O239" s="8" t="n">
        <f aca="false">E239+G239+I239+K239+M239</f>
        <v>33728</v>
      </c>
      <c r="P239" s="8" t="n">
        <f aca="false">F239+H239+J239+L239+N239</f>
        <v>42051</v>
      </c>
      <c r="Q239" s="8" t="n">
        <f aca="false">SUM(O239:P239)</f>
        <v>75779</v>
      </c>
      <c r="R239" s="9" t="n">
        <f aca="false">(O239/Q239)*100</f>
        <v>44.5083730321065</v>
      </c>
      <c r="S239" s="9" t="n">
        <f aca="false">(P239/Q239)*100</f>
        <v>55.4916269678935</v>
      </c>
    </row>
    <row r="240" customFormat="false" ht="12.8" hidden="false" customHeight="false" outlineLevel="0" collapsed="false">
      <c r="A240" s="6" t="s">
        <v>110</v>
      </c>
      <c r="B240" s="7" t="s">
        <v>531</v>
      </c>
      <c r="C240" s="6" t="s">
        <v>532</v>
      </c>
      <c r="D240" s="7" t="s">
        <v>533</v>
      </c>
      <c r="E240" s="8" t="n">
        <v>11303</v>
      </c>
      <c r="F240" s="8" t="n">
        <v>9397</v>
      </c>
      <c r="G240" s="8" t="n">
        <v>17220</v>
      </c>
      <c r="H240" s="8" t="n">
        <v>13619</v>
      </c>
      <c r="I240" s="8" t="n">
        <v>6434</v>
      </c>
      <c r="J240" s="8" t="n">
        <v>6812</v>
      </c>
      <c r="K240" s="8" t="n">
        <v>3730</v>
      </c>
      <c r="L240" s="8" t="n">
        <v>5622</v>
      </c>
      <c r="M240" s="8" t="n">
        <v>3197</v>
      </c>
      <c r="N240" s="8" t="n">
        <v>4204</v>
      </c>
      <c r="O240" s="8" t="n">
        <f aca="false">E240+G240+I240+K240+M240</f>
        <v>41884</v>
      </c>
      <c r="P240" s="8" t="n">
        <f aca="false">F240+H240+J240+L240+N240</f>
        <v>39654</v>
      </c>
      <c r="Q240" s="8" t="n">
        <f aca="false">SUM(O240:P240)</f>
        <v>81538</v>
      </c>
      <c r="R240" s="9" t="n">
        <f aca="false">(O240/Q240)*100</f>
        <v>51.3674605705315</v>
      </c>
      <c r="S240" s="9" t="n">
        <f aca="false">(P240/Q240)*100</f>
        <v>48.6325394294685</v>
      </c>
    </row>
    <row r="241" customFormat="false" ht="12.8" hidden="false" customHeight="false" outlineLevel="0" collapsed="false">
      <c r="A241" s="6" t="s">
        <v>110</v>
      </c>
      <c r="B241" s="7" t="s">
        <v>531</v>
      </c>
      <c r="C241" s="6" t="s">
        <v>534</v>
      </c>
      <c r="D241" s="7" t="s">
        <v>535</v>
      </c>
      <c r="E241" s="8" t="n">
        <v>8106</v>
      </c>
      <c r="F241" s="8" t="n">
        <v>8509</v>
      </c>
      <c r="G241" s="8" t="n">
        <v>12976</v>
      </c>
      <c r="H241" s="8" t="n">
        <v>11689</v>
      </c>
      <c r="I241" s="8" t="n">
        <v>5893</v>
      </c>
      <c r="J241" s="8" t="n">
        <v>6521</v>
      </c>
      <c r="K241" s="8" t="n">
        <v>3927</v>
      </c>
      <c r="L241" s="8" t="n">
        <v>7533</v>
      </c>
      <c r="M241" s="8" t="n">
        <v>3564</v>
      </c>
      <c r="N241" s="8" t="n">
        <v>5721</v>
      </c>
      <c r="O241" s="8" t="n">
        <f aca="false">E241+G241+I241+K241+M241</f>
        <v>34466</v>
      </c>
      <c r="P241" s="8" t="n">
        <f aca="false">F241+H241+J241+L241+N241</f>
        <v>39973</v>
      </c>
      <c r="Q241" s="8" t="n">
        <f aca="false">SUM(O241:P241)</f>
        <v>74439</v>
      </c>
      <c r="R241" s="9" t="n">
        <f aca="false">(O241/Q241)*100</f>
        <v>46.3009981326993</v>
      </c>
      <c r="S241" s="9" t="n">
        <f aca="false">(P241/Q241)*100</f>
        <v>53.6990018673007</v>
      </c>
    </row>
    <row r="242" customFormat="false" ht="12.8" hidden="false" customHeight="false" outlineLevel="0" collapsed="false">
      <c r="A242" s="6" t="s">
        <v>110</v>
      </c>
      <c r="B242" s="7" t="s">
        <v>531</v>
      </c>
      <c r="C242" s="6" t="s">
        <v>536</v>
      </c>
      <c r="D242" s="7" t="s">
        <v>537</v>
      </c>
      <c r="E242" s="8" t="n">
        <v>12493</v>
      </c>
      <c r="F242" s="8" t="n">
        <v>13304</v>
      </c>
      <c r="G242" s="8" t="n">
        <v>24054</v>
      </c>
      <c r="H242" s="8" t="n">
        <v>27365</v>
      </c>
      <c r="I242" s="8" t="n">
        <v>9929</v>
      </c>
      <c r="J242" s="8" t="n">
        <v>14578</v>
      </c>
      <c r="K242" s="8" t="n">
        <v>4699</v>
      </c>
      <c r="L242" s="8" t="n">
        <v>3437</v>
      </c>
      <c r="M242" s="8" t="n">
        <v>6080</v>
      </c>
      <c r="N242" s="8" t="n">
        <v>4084</v>
      </c>
      <c r="O242" s="8" t="n">
        <f aca="false">E242+G242+I242+K242+M242</f>
        <v>57255</v>
      </c>
      <c r="P242" s="8" t="n">
        <f aca="false">F242+H242+J242+L242+N242</f>
        <v>62768</v>
      </c>
      <c r="Q242" s="8" t="n">
        <f aca="false">SUM(O242:P242)</f>
        <v>120023</v>
      </c>
      <c r="R242" s="9" t="n">
        <f aca="false">(O242/Q242)*100</f>
        <v>47.7033568566025</v>
      </c>
      <c r="S242" s="9" t="n">
        <f aca="false">(P242/Q242)*100</f>
        <v>52.2966431433975</v>
      </c>
    </row>
    <row r="243" customFormat="false" ht="12.8" hidden="false" customHeight="false" outlineLevel="0" collapsed="false">
      <c r="A243" s="6" t="s">
        <v>110</v>
      </c>
      <c r="B243" s="7" t="s">
        <v>531</v>
      </c>
      <c r="C243" s="6" t="s">
        <v>538</v>
      </c>
      <c r="D243" s="7" t="s">
        <v>539</v>
      </c>
      <c r="E243" s="8" t="n">
        <v>5368</v>
      </c>
      <c r="F243" s="8" t="n">
        <v>5930</v>
      </c>
      <c r="G243" s="8" t="n">
        <v>8191</v>
      </c>
      <c r="H243" s="8" t="n">
        <v>6973</v>
      </c>
      <c r="I243" s="8" t="n">
        <v>4277</v>
      </c>
      <c r="J243" s="8" t="n">
        <v>4110</v>
      </c>
      <c r="K243" s="8" t="n">
        <v>3123</v>
      </c>
      <c r="L243" s="8" t="n">
        <v>7756</v>
      </c>
      <c r="M243" s="8" t="n">
        <v>2430</v>
      </c>
      <c r="N243" s="8" t="n">
        <v>5397</v>
      </c>
      <c r="O243" s="8" t="n">
        <f aca="false">E243+G243+I243+K243+M243</f>
        <v>23389</v>
      </c>
      <c r="P243" s="8" t="n">
        <f aca="false">F243+H243+J243+L243+N243</f>
        <v>30166</v>
      </c>
      <c r="Q243" s="8" t="n">
        <f aca="false">SUM(O243:P243)</f>
        <v>53555</v>
      </c>
      <c r="R243" s="9" t="n">
        <f aca="false">(O243/Q243)*100</f>
        <v>43.6728596769676</v>
      </c>
      <c r="S243" s="9" t="n">
        <f aca="false">(P243/Q243)*100</f>
        <v>56.3271403230324</v>
      </c>
    </row>
    <row r="244" customFormat="false" ht="12.8" hidden="false" customHeight="false" outlineLevel="0" collapsed="false">
      <c r="A244" s="6" t="s">
        <v>110</v>
      </c>
      <c r="B244" s="7" t="s">
        <v>531</v>
      </c>
      <c r="C244" s="6" t="s">
        <v>540</v>
      </c>
      <c r="D244" s="7" t="s">
        <v>541</v>
      </c>
      <c r="E244" s="8" t="n">
        <v>6378</v>
      </c>
      <c r="F244" s="8" t="n">
        <v>7959</v>
      </c>
      <c r="G244" s="8" t="n">
        <v>12490</v>
      </c>
      <c r="H244" s="8" t="n">
        <v>10394</v>
      </c>
      <c r="I244" s="8" t="n">
        <v>5602</v>
      </c>
      <c r="J244" s="8" t="n">
        <v>5969</v>
      </c>
      <c r="K244" s="8" t="n">
        <v>4340</v>
      </c>
      <c r="L244" s="8" t="n">
        <v>8829</v>
      </c>
      <c r="M244" s="8" t="n">
        <v>3192</v>
      </c>
      <c r="N244" s="8" t="n">
        <v>6527</v>
      </c>
      <c r="O244" s="8" t="n">
        <f aca="false">E244+G244+I244+K244+M244</f>
        <v>32002</v>
      </c>
      <c r="P244" s="8" t="n">
        <f aca="false">F244+H244+J244+L244+N244</f>
        <v>39678</v>
      </c>
      <c r="Q244" s="8" t="n">
        <f aca="false">SUM(O244:P244)</f>
        <v>71680</v>
      </c>
      <c r="R244" s="9" t="n">
        <f aca="false">(O244/Q244)*100</f>
        <v>44.6456473214286</v>
      </c>
      <c r="S244" s="9" t="n">
        <f aca="false">(P244/Q244)*100</f>
        <v>55.3543526785714</v>
      </c>
    </row>
    <row r="245" customFormat="false" ht="12.8" hidden="false" customHeight="false" outlineLevel="0" collapsed="false">
      <c r="A245" s="6" t="s">
        <v>110</v>
      </c>
      <c r="B245" s="7" t="s">
        <v>531</v>
      </c>
      <c r="C245" s="6" t="s">
        <v>542</v>
      </c>
      <c r="D245" s="7" t="s">
        <v>543</v>
      </c>
      <c r="E245" s="8" t="n">
        <v>5184</v>
      </c>
      <c r="F245" s="8" t="n">
        <v>6865</v>
      </c>
      <c r="G245" s="8" t="n">
        <v>11764</v>
      </c>
      <c r="H245" s="8" t="n">
        <v>11626</v>
      </c>
      <c r="I245" s="8" t="n">
        <v>5620</v>
      </c>
      <c r="J245" s="8" t="n">
        <v>7302</v>
      </c>
      <c r="K245" s="8" t="n">
        <v>3672</v>
      </c>
      <c r="L245" s="8" t="n">
        <v>7068</v>
      </c>
      <c r="M245" s="8" t="n">
        <v>3893</v>
      </c>
      <c r="N245" s="8" t="n">
        <v>6097</v>
      </c>
      <c r="O245" s="8" t="n">
        <f aca="false">E245+G245+I245+K245+M245</f>
        <v>30133</v>
      </c>
      <c r="P245" s="8" t="n">
        <f aca="false">F245+H245+J245+L245+N245</f>
        <v>38958</v>
      </c>
      <c r="Q245" s="8" t="n">
        <f aca="false">SUM(O245:P245)</f>
        <v>69091</v>
      </c>
      <c r="R245" s="9" t="n">
        <f aca="false">(O245/Q245)*100</f>
        <v>43.613495245401</v>
      </c>
      <c r="S245" s="9" t="n">
        <f aca="false">(P245/Q245)*100</f>
        <v>56.386504754599</v>
      </c>
    </row>
    <row r="246" customFormat="false" ht="12.8" hidden="false" customHeight="false" outlineLevel="0" collapsed="false">
      <c r="A246" s="6" t="s">
        <v>110</v>
      </c>
      <c r="B246" s="7" t="s">
        <v>531</v>
      </c>
      <c r="C246" s="6" t="s">
        <v>544</v>
      </c>
      <c r="D246" s="7" t="s">
        <v>545</v>
      </c>
      <c r="E246" s="8" t="n">
        <v>6640</v>
      </c>
      <c r="F246" s="8" t="n">
        <v>7576</v>
      </c>
      <c r="G246" s="8" t="n">
        <v>10791</v>
      </c>
      <c r="H246" s="8" t="n">
        <v>8792</v>
      </c>
      <c r="I246" s="8" t="n">
        <v>5841</v>
      </c>
      <c r="J246" s="8" t="n">
        <v>5479</v>
      </c>
      <c r="K246" s="8" t="n">
        <v>4068</v>
      </c>
      <c r="L246" s="8" t="n">
        <v>9625</v>
      </c>
      <c r="M246" s="8" t="n">
        <v>3080</v>
      </c>
      <c r="N246" s="8" t="n">
        <v>6992</v>
      </c>
      <c r="O246" s="8" t="n">
        <f aca="false">E246+G246+I246+K246+M246</f>
        <v>30420</v>
      </c>
      <c r="P246" s="8" t="n">
        <f aca="false">F246+H246+J246+L246+N246</f>
        <v>38464</v>
      </c>
      <c r="Q246" s="8" t="n">
        <f aca="false">SUM(O246:P246)</f>
        <v>68884</v>
      </c>
      <c r="R246" s="9" t="n">
        <f aca="false">(O246/Q246)*100</f>
        <v>44.1611985366703</v>
      </c>
      <c r="S246" s="9" t="n">
        <f aca="false">(P246/Q246)*100</f>
        <v>55.8388014633297</v>
      </c>
    </row>
    <row r="247" customFormat="false" ht="12.8" hidden="false" customHeight="false" outlineLevel="0" collapsed="false">
      <c r="A247" s="6" t="s">
        <v>112</v>
      </c>
      <c r="B247" s="7" t="s">
        <v>546</v>
      </c>
      <c r="C247" s="6" t="s">
        <v>547</v>
      </c>
      <c r="D247" s="7" t="s">
        <v>548</v>
      </c>
      <c r="E247" s="8" t="n">
        <v>5935</v>
      </c>
      <c r="F247" s="8" t="n">
        <v>6659</v>
      </c>
      <c r="G247" s="8" t="n">
        <v>9803</v>
      </c>
      <c r="H247" s="8" t="n">
        <v>7914</v>
      </c>
      <c r="I247" s="8" t="n">
        <v>5433</v>
      </c>
      <c r="J247" s="8" t="n">
        <v>4852</v>
      </c>
      <c r="K247" s="8" t="n">
        <v>3218</v>
      </c>
      <c r="L247" s="8" t="n">
        <v>6360</v>
      </c>
      <c r="M247" s="8" t="n">
        <v>2452</v>
      </c>
      <c r="N247" s="8" t="n">
        <v>4718</v>
      </c>
      <c r="O247" s="8" t="n">
        <f aca="false">E247+G247+I247+K247+M247</f>
        <v>26841</v>
      </c>
      <c r="P247" s="8" t="n">
        <f aca="false">F247+H247+J247+L247+N247</f>
        <v>30503</v>
      </c>
      <c r="Q247" s="8" t="n">
        <f aca="false">SUM(O247:P247)</f>
        <v>57344</v>
      </c>
      <c r="R247" s="9" t="n">
        <f aca="false">(O247/Q247)*100</f>
        <v>46.8069893973214</v>
      </c>
      <c r="S247" s="9" t="n">
        <f aca="false">(P247/Q247)*100</f>
        <v>53.1930106026786</v>
      </c>
    </row>
    <row r="248" customFormat="false" ht="12.8" hidden="false" customHeight="false" outlineLevel="0" collapsed="false">
      <c r="A248" s="6" t="s">
        <v>112</v>
      </c>
      <c r="B248" s="7" t="s">
        <v>546</v>
      </c>
      <c r="C248" s="6" t="s">
        <v>549</v>
      </c>
      <c r="D248" s="7" t="s">
        <v>550</v>
      </c>
      <c r="E248" s="8" t="n">
        <v>4188</v>
      </c>
      <c r="F248" s="8" t="n">
        <v>5387</v>
      </c>
      <c r="G248" s="8" t="n">
        <v>7881</v>
      </c>
      <c r="H248" s="8" t="n">
        <v>6544</v>
      </c>
      <c r="I248" s="8" t="n">
        <v>4787</v>
      </c>
      <c r="J248" s="8" t="n">
        <v>4201</v>
      </c>
      <c r="K248" s="8" t="n">
        <v>2937</v>
      </c>
      <c r="L248" s="8" t="n">
        <v>6407</v>
      </c>
      <c r="M248" s="8" t="n">
        <v>2317</v>
      </c>
      <c r="N248" s="8" t="n">
        <v>4783</v>
      </c>
      <c r="O248" s="8" t="n">
        <f aca="false">E248+G248+I248+K248+M248</f>
        <v>22110</v>
      </c>
      <c r="P248" s="8" t="n">
        <f aca="false">F248+H248+J248+L248+N248</f>
        <v>27322</v>
      </c>
      <c r="Q248" s="8" t="n">
        <f aca="false">SUM(O248:P248)</f>
        <v>49432</v>
      </c>
      <c r="R248" s="9" t="n">
        <f aca="false">(O248/Q248)*100</f>
        <v>44.7281113448778</v>
      </c>
      <c r="S248" s="9" t="n">
        <f aca="false">(P248/Q248)*100</f>
        <v>55.2718886551222</v>
      </c>
    </row>
    <row r="249" customFormat="false" ht="12.8" hidden="false" customHeight="false" outlineLevel="0" collapsed="false">
      <c r="A249" s="6" t="s">
        <v>112</v>
      </c>
      <c r="B249" s="7" t="s">
        <v>546</v>
      </c>
      <c r="C249" s="6" t="s">
        <v>551</v>
      </c>
      <c r="D249" s="7" t="s">
        <v>552</v>
      </c>
      <c r="E249" s="8" t="n">
        <v>9216</v>
      </c>
      <c r="F249" s="8" t="n">
        <v>9961</v>
      </c>
      <c r="G249" s="8" t="n">
        <v>13262</v>
      </c>
      <c r="H249" s="8" t="n">
        <v>10883</v>
      </c>
      <c r="I249" s="8" t="n">
        <v>6869</v>
      </c>
      <c r="J249" s="8" t="n">
        <v>6735</v>
      </c>
      <c r="K249" s="8" t="n">
        <v>4849</v>
      </c>
      <c r="L249" s="8" t="n">
        <v>10878</v>
      </c>
      <c r="M249" s="8" t="n">
        <v>3755</v>
      </c>
      <c r="N249" s="8" t="n">
        <v>7596</v>
      </c>
      <c r="O249" s="8" t="n">
        <f aca="false">E249+G249+I249+K249+M249</f>
        <v>37951</v>
      </c>
      <c r="P249" s="8" t="n">
        <f aca="false">F249+H249+J249+L249+N249</f>
        <v>46053</v>
      </c>
      <c r="Q249" s="8" t="n">
        <f aca="false">SUM(O249:P249)</f>
        <v>84004</v>
      </c>
      <c r="R249" s="9" t="n">
        <f aca="false">(O249/Q249)*100</f>
        <v>45.1776105899719</v>
      </c>
      <c r="S249" s="9" t="n">
        <f aca="false">(P249/Q249)*100</f>
        <v>54.8223894100281</v>
      </c>
    </row>
    <row r="250" customFormat="false" ht="12.8" hidden="false" customHeight="false" outlineLevel="0" collapsed="false">
      <c r="A250" s="6" t="s">
        <v>112</v>
      </c>
      <c r="B250" s="7" t="s">
        <v>546</v>
      </c>
      <c r="C250" s="6" t="s">
        <v>553</v>
      </c>
      <c r="D250" s="7" t="s">
        <v>554</v>
      </c>
      <c r="E250" s="8" t="n">
        <v>6222</v>
      </c>
      <c r="F250" s="8" t="n">
        <v>6486</v>
      </c>
      <c r="G250" s="8" t="n">
        <v>9467</v>
      </c>
      <c r="H250" s="8" t="n">
        <v>6598</v>
      </c>
      <c r="I250" s="8" t="n">
        <v>3958</v>
      </c>
      <c r="J250" s="8" t="n">
        <v>3836</v>
      </c>
      <c r="K250" s="8" t="n">
        <v>3119</v>
      </c>
      <c r="L250" s="8" t="n">
        <v>6203</v>
      </c>
      <c r="M250" s="8" t="n">
        <v>2206</v>
      </c>
      <c r="N250" s="8" t="n">
        <v>4421</v>
      </c>
      <c r="O250" s="8" t="n">
        <f aca="false">E250+G250+I250+K250+M250</f>
        <v>24972</v>
      </c>
      <c r="P250" s="8" t="n">
        <f aca="false">F250+H250+J250+L250+N250</f>
        <v>27544</v>
      </c>
      <c r="Q250" s="8" t="n">
        <f aca="false">SUM(O250:P250)</f>
        <v>52516</v>
      </c>
      <c r="R250" s="9" t="n">
        <f aca="false">(O250/Q250)*100</f>
        <v>47.5512224845761</v>
      </c>
      <c r="S250" s="9" t="n">
        <f aca="false">(P250/Q250)*100</f>
        <v>52.4487775154239</v>
      </c>
    </row>
    <row r="251" customFormat="false" ht="12.8" hidden="false" customHeight="false" outlineLevel="0" collapsed="false">
      <c r="A251" s="6" t="s">
        <v>112</v>
      </c>
      <c r="B251" s="7" t="s">
        <v>546</v>
      </c>
      <c r="C251" s="6" t="s">
        <v>555</v>
      </c>
      <c r="D251" s="7" t="s">
        <v>556</v>
      </c>
      <c r="E251" s="8" t="n">
        <v>6391</v>
      </c>
      <c r="F251" s="8" t="n">
        <v>6248</v>
      </c>
      <c r="G251" s="8" t="n">
        <v>9706</v>
      </c>
      <c r="H251" s="8" t="n">
        <v>7411</v>
      </c>
      <c r="I251" s="8" t="n">
        <v>4072</v>
      </c>
      <c r="J251" s="8" t="n">
        <v>4280</v>
      </c>
      <c r="K251" s="8" t="n">
        <v>2709</v>
      </c>
      <c r="L251" s="8" t="n">
        <v>4381</v>
      </c>
      <c r="M251" s="8" t="n">
        <v>2216</v>
      </c>
      <c r="N251" s="8" t="n">
        <v>3156</v>
      </c>
      <c r="O251" s="8" t="n">
        <f aca="false">E251+G251+I251+K251+M251</f>
        <v>25094</v>
      </c>
      <c r="P251" s="8" t="n">
        <f aca="false">F251+H251+J251+L251+N251</f>
        <v>25476</v>
      </c>
      <c r="Q251" s="8" t="n">
        <f aca="false">SUM(O251:P251)</f>
        <v>50570</v>
      </c>
      <c r="R251" s="9" t="n">
        <f aca="false">(O251/Q251)*100</f>
        <v>49.6223057148507</v>
      </c>
      <c r="S251" s="9" t="n">
        <f aca="false">(P251/Q251)*100</f>
        <v>50.3776942851493</v>
      </c>
    </row>
    <row r="252" customFormat="false" ht="12.8" hidden="false" customHeight="false" outlineLevel="0" collapsed="false">
      <c r="A252" s="6" t="s">
        <v>112</v>
      </c>
      <c r="B252" s="7" t="s">
        <v>546</v>
      </c>
      <c r="C252" s="6" t="s">
        <v>557</v>
      </c>
      <c r="D252" s="7" t="s">
        <v>558</v>
      </c>
      <c r="E252" s="8" t="n">
        <v>9403</v>
      </c>
      <c r="F252" s="8" t="n">
        <v>9763</v>
      </c>
      <c r="G252" s="8" t="n">
        <v>15098</v>
      </c>
      <c r="H252" s="8" t="n">
        <v>11940</v>
      </c>
      <c r="I252" s="8" t="n">
        <v>7572</v>
      </c>
      <c r="J252" s="8" t="n">
        <v>7123</v>
      </c>
      <c r="K252" s="8" t="n">
        <v>4358</v>
      </c>
      <c r="L252" s="8" t="n">
        <v>9683</v>
      </c>
      <c r="M252" s="8" t="n">
        <v>3521</v>
      </c>
      <c r="N252" s="8" t="n">
        <v>6595</v>
      </c>
      <c r="O252" s="8" t="n">
        <f aca="false">E252+G252+I252+K252+M252</f>
        <v>39952</v>
      </c>
      <c r="P252" s="8" t="n">
        <f aca="false">F252+H252+J252+L252+N252</f>
        <v>45104</v>
      </c>
      <c r="Q252" s="8" t="n">
        <f aca="false">SUM(O252:P252)</f>
        <v>85056</v>
      </c>
      <c r="R252" s="9" t="n">
        <f aca="false">(O252/Q252)*100</f>
        <v>46.9714070729872</v>
      </c>
      <c r="S252" s="9" t="n">
        <f aca="false">(P252/Q252)*100</f>
        <v>53.0285929270128</v>
      </c>
    </row>
    <row r="253" customFormat="false" ht="12.8" hidden="false" customHeight="false" outlineLevel="0" collapsed="false">
      <c r="A253" s="6" t="s">
        <v>112</v>
      </c>
      <c r="B253" s="7" t="s">
        <v>546</v>
      </c>
      <c r="C253" s="6" t="s">
        <v>559</v>
      </c>
      <c r="D253" s="7" t="s">
        <v>560</v>
      </c>
      <c r="E253" s="8" t="n">
        <v>4941</v>
      </c>
      <c r="F253" s="8" t="n">
        <v>5799</v>
      </c>
      <c r="G253" s="8" t="n">
        <v>9270</v>
      </c>
      <c r="H253" s="8" t="n">
        <v>8602</v>
      </c>
      <c r="I253" s="8" t="n">
        <v>4578</v>
      </c>
      <c r="J253" s="8" t="n">
        <v>4650</v>
      </c>
      <c r="K253" s="8" t="n">
        <v>2743</v>
      </c>
      <c r="L253" s="8" t="n">
        <v>5295</v>
      </c>
      <c r="M253" s="8" t="n">
        <v>2219</v>
      </c>
      <c r="N253" s="8" t="n">
        <v>3357</v>
      </c>
      <c r="O253" s="8" t="n">
        <f aca="false">E253+G253+I253+K253+M253</f>
        <v>23751</v>
      </c>
      <c r="P253" s="8" t="n">
        <f aca="false">F253+H253+J253+L253+N253</f>
        <v>27703</v>
      </c>
      <c r="Q253" s="8" t="n">
        <f aca="false">SUM(O253:P253)</f>
        <v>51454</v>
      </c>
      <c r="R253" s="9" t="n">
        <f aca="false">(O253/Q253)*100</f>
        <v>46.1596766043456</v>
      </c>
      <c r="S253" s="9" t="n">
        <f aca="false">(P253/Q253)*100</f>
        <v>53.8403233956544</v>
      </c>
    </row>
    <row r="254" customFormat="false" ht="12.8" hidden="false" customHeight="false" outlineLevel="0" collapsed="false">
      <c r="A254" s="6" t="s">
        <v>112</v>
      </c>
      <c r="B254" s="7" t="s">
        <v>546</v>
      </c>
      <c r="C254" s="6" t="s">
        <v>561</v>
      </c>
      <c r="D254" s="7" t="s">
        <v>562</v>
      </c>
      <c r="E254" s="8" t="n">
        <v>4479</v>
      </c>
      <c r="F254" s="8" t="n">
        <v>5425</v>
      </c>
      <c r="G254" s="8" t="n">
        <v>7888</v>
      </c>
      <c r="H254" s="8" t="n">
        <v>7170</v>
      </c>
      <c r="I254" s="8" t="n">
        <v>4217</v>
      </c>
      <c r="J254" s="8" t="n">
        <v>4098</v>
      </c>
      <c r="K254" s="8" t="n">
        <v>2456</v>
      </c>
      <c r="L254" s="8" t="n">
        <v>5014</v>
      </c>
      <c r="M254" s="8" t="n">
        <v>2207</v>
      </c>
      <c r="N254" s="8" t="n">
        <v>3545</v>
      </c>
      <c r="O254" s="8" t="n">
        <f aca="false">E254+G254+I254+K254+M254</f>
        <v>21247</v>
      </c>
      <c r="P254" s="8" t="n">
        <f aca="false">F254+H254+J254+L254+N254</f>
        <v>25252</v>
      </c>
      <c r="Q254" s="8" t="n">
        <f aca="false">SUM(O254:P254)</f>
        <v>46499</v>
      </c>
      <c r="R254" s="9" t="n">
        <f aca="false">(O254/Q254)*100</f>
        <v>45.6934557732424</v>
      </c>
      <c r="S254" s="9" t="n">
        <f aca="false">(P254/Q254)*100</f>
        <v>54.3065442267576</v>
      </c>
    </row>
    <row r="255" customFormat="false" ht="12.8" hidden="false" customHeight="false" outlineLevel="0" collapsed="false">
      <c r="A255" s="6" t="s">
        <v>114</v>
      </c>
      <c r="B255" s="7" t="s">
        <v>563</v>
      </c>
      <c r="C255" s="6" t="s">
        <v>564</v>
      </c>
      <c r="D255" s="7" t="s">
        <v>565</v>
      </c>
      <c r="E255" s="8" t="n">
        <v>4653</v>
      </c>
      <c r="F255" s="8" t="n">
        <v>5575</v>
      </c>
      <c r="G255" s="8" t="n">
        <v>9086</v>
      </c>
      <c r="H255" s="8" t="n">
        <v>7992</v>
      </c>
      <c r="I255" s="8" t="n">
        <v>3825</v>
      </c>
      <c r="J255" s="8" t="n">
        <v>3994</v>
      </c>
      <c r="K255" s="8" t="n">
        <v>2947</v>
      </c>
      <c r="L255" s="8" t="n">
        <v>4761</v>
      </c>
      <c r="M255" s="8" t="n">
        <v>2149</v>
      </c>
      <c r="N255" s="8" t="n">
        <v>3430</v>
      </c>
      <c r="O255" s="8" t="n">
        <f aca="false">E255+G255+I255+K255+M255</f>
        <v>22660</v>
      </c>
      <c r="P255" s="8" t="n">
        <f aca="false">F255+H255+J255+L255+N255</f>
        <v>25752</v>
      </c>
      <c r="Q255" s="8" t="n">
        <f aca="false">SUM(O255:P255)</f>
        <v>48412</v>
      </c>
      <c r="R255" s="9" t="n">
        <f aca="false">(O255/Q255)*100</f>
        <v>46.8065768817649</v>
      </c>
      <c r="S255" s="9" t="n">
        <f aca="false">(P255/Q255)*100</f>
        <v>53.1934231182352</v>
      </c>
    </row>
    <row r="256" customFormat="false" ht="12.8" hidden="false" customHeight="false" outlineLevel="0" collapsed="false">
      <c r="A256" s="6" t="s">
        <v>114</v>
      </c>
      <c r="B256" s="7" t="s">
        <v>563</v>
      </c>
      <c r="C256" s="6" t="s">
        <v>566</v>
      </c>
      <c r="D256" s="7" t="s">
        <v>567</v>
      </c>
      <c r="E256" s="8" t="n">
        <v>4299</v>
      </c>
      <c r="F256" s="8" t="n">
        <v>5115</v>
      </c>
      <c r="G256" s="8" t="n">
        <v>9010</v>
      </c>
      <c r="H256" s="8" t="n">
        <v>8292</v>
      </c>
      <c r="I256" s="8" t="n">
        <v>3878</v>
      </c>
      <c r="J256" s="8" t="n">
        <v>4435</v>
      </c>
      <c r="K256" s="8" t="n">
        <v>2619</v>
      </c>
      <c r="L256" s="8" t="n">
        <v>4867</v>
      </c>
      <c r="M256" s="8" t="n">
        <v>2354</v>
      </c>
      <c r="N256" s="8" t="n">
        <v>3424</v>
      </c>
      <c r="O256" s="8" t="n">
        <f aca="false">E256+G256+I256+K256+M256</f>
        <v>22160</v>
      </c>
      <c r="P256" s="8" t="n">
        <f aca="false">F256+H256+J256+L256+N256</f>
        <v>26133</v>
      </c>
      <c r="Q256" s="8" t="n">
        <f aca="false">SUM(O256:P256)</f>
        <v>48293</v>
      </c>
      <c r="R256" s="9" t="n">
        <f aca="false">(O256/Q256)*100</f>
        <v>45.8865674114261</v>
      </c>
      <c r="S256" s="9" t="n">
        <f aca="false">(P256/Q256)*100</f>
        <v>54.1134325885739</v>
      </c>
    </row>
    <row r="257" customFormat="false" ht="12.8" hidden="false" customHeight="false" outlineLevel="0" collapsed="false">
      <c r="A257" s="6" t="s">
        <v>114</v>
      </c>
      <c r="B257" s="7" t="s">
        <v>563</v>
      </c>
      <c r="C257" s="6" t="s">
        <v>568</v>
      </c>
      <c r="D257" s="7" t="s">
        <v>569</v>
      </c>
      <c r="E257" s="8" t="n">
        <v>4354</v>
      </c>
      <c r="F257" s="8" t="n">
        <v>4819</v>
      </c>
      <c r="G257" s="8" t="n">
        <v>7927</v>
      </c>
      <c r="H257" s="8" t="n">
        <v>7442</v>
      </c>
      <c r="I257" s="8" t="n">
        <v>3991</v>
      </c>
      <c r="J257" s="8" t="n">
        <v>4371</v>
      </c>
      <c r="K257" s="8" t="n">
        <v>2736</v>
      </c>
      <c r="L257" s="8" t="n">
        <v>4745</v>
      </c>
      <c r="M257" s="8" t="n">
        <v>2420</v>
      </c>
      <c r="N257" s="8" t="n">
        <v>3729</v>
      </c>
      <c r="O257" s="8" t="n">
        <f aca="false">E257+G257+I257+K257+M257</f>
        <v>21428</v>
      </c>
      <c r="P257" s="8" t="n">
        <f aca="false">F257+H257+J257+L257+N257</f>
        <v>25106</v>
      </c>
      <c r="Q257" s="8" t="n">
        <f aca="false">SUM(O257:P257)</f>
        <v>46534</v>
      </c>
      <c r="R257" s="9" t="n">
        <f aca="false">(O257/Q257)*100</f>
        <v>46.0480508875231</v>
      </c>
      <c r="S257" s="9" t="n">
        <f aca="false">(P257/Q257)*100</f>
        <v>53.9519491124769</v>
      </c>
    </row>
    <row r="258" customFormat="false" ht="12.8" hidden="false" customHeight="false" outlineLevel="0" collapsed="false">
      <c r="A258" s="6" t="s">
        <v>114</v>
      </c>
      <c r="B258" s="7" t="s">
        <v>563</v>
      </c>
      <c r="C258" s="6" t="s">
        <v>570</v>
      </c>
      <c r="D258" s="7" t="s">
        <v>571</v>
      </c>
      <c r="E258" s="8" t="n">
        <v>5072</v>
      </c>
      <c r="F258" s="8" t="n">
        <v>5263</v>
      </c>
      <c r="G258" s="8" t="n">
        <v>8185</v>
      </c>
      <c r="H258" s="8" t="n">
        <v>7511</v>
      </c>
      <c r="I258" s="8" t="n">
        <v>3727</v>
      </c>
      <c r="J258" s="8" t="n">
        <v>3997</v>
      </c>
      <c r="K258" s="8" t="n">
        <v>2745</v>
      </c>
      <c r="L258" s="8" t="n">
        <v>4256</v>
      </c>
      <c r="M258" s="8" t="n">
        <v>2306</v>
      </c>
      <c r="N258" s="8" t="n">
        <v>2968</v>
      </c>
      <c r="O258" s="8" t="n">
        <f aca="false">E258+G258+I258+K258+M258</f>
        <v>22035</v>
      </c>
      <c r="P258" s="8" t="n">
        <f aca="false">F258+H258+J258+L258+N258</f>
        <v>23995</v>
      </c>
      <c r="Q258" s="8" t="n">
        <f aca="false">SUM(O258:P258)</f>
        <v>46030</v>
      </c>
      <c r="R258" s="9" t="n">
        <f aca="false">(O258/Q258)*100</f>
        <v>47.870953725831</v>
      </c>
      <c r="S258" s="9" t="n">
        <f aca="false">(P258/Q258)*100</f>
        <v>52.129046274169</v>
      </c>
    </row>
    <row r="259" customFormat="false" ht="12.8" hidden="false" customHeight="false" outlineLevel="0" collapsed="false">
      <c r="A259" s="6" t="s">
        <v>114</v>
      </c>
      <c r="B259" s="7" t="s">
        <v>563</v>
      </c>
      <c r="C259" s="6" t="s">
        <v>572</v>
      </c>
      <c r="D259" s="7" t="s">
        <v>573</v>
      </c>
      <c r="E259" s="8" t="n">
        <v>4518</v>
      </c>
      <c r="F259" s="8" t="n">
        <v>5352</v>
      </c>
      <c r="G259" s="8" t="n">
        <v>8761</v>
      </c>
      <c r="H259" s="8" t="n">
        <v>7931</v>
      </c>
      <c r="I259" s="8" t="n">
        <v>4605</v>
      </c>
      <c r="J259" s="8" t="n">
        <v>4733</v>
      </c>
      <c r="K259" s="8" t="n">
        <v>2983</v>
      </c>
      <c r="L259" s="8" t="n">
        <v>5855</v>
      </c>
      <c r="M259" s="8" t="n">
        <v>2453</v>
      </c>
      <c r="N259" s="8" t="n">
        <v>4485</v>
      </c>
      <c r="O259" s="8" t="n">
        <f aca="false">E259+G259+I259+K259+M259</f>
        <v>23320</v>
      </c>
      <c r="P259" s="8" t="n">
        <f aca="false">F259+H259+J259+L259+N259</f>
        <v>28356</v>
      </c>
      <c r="Q259" s="8" t="n">
        <f aca="false">SUM(O259:P259)</f>
        <v>51676</v>
      </c>
      <c r="R259" s="9" t="n">
        <f aca="false">(O259/Q259)*100</f>
        <v>45.1273318368295</v>
      </c>
      <c r="S259" s="9" t="n">
        <f aca="false">(P259/Q259)*100</f>
        <v>54.8726681631705</v>
      </c>
    </row>
    <row r="260" customFormat="false" ht="12.8" hidden="false" customHeight="false" outlineLevel="0" collapsed="false">
      <c r="A260" s="6" t="s">
        <v>114</v>
      </c>
      <c r="B260" s="7" t="s">
        <v>563</v>
      </c>
      <c r="C260" s="6" t="s">
        <v>574</v>
      </c>
      <c r="D260" s="7" t="s">
        <v>575</v>
      </c>
      <c r="E260" s="8" t="n">
        <v>5273</v>
      </c>
      <c r="F260" s="8" t="n">
        <v>6120</v>
      </c>
      <c r="G260" s="8" t="n">
        <v>10438</v>
      </c>
      <c r="H260" s="8" t="n">
        <v>9688</v>
      </c>
      <c r="I260" s="8" t="n">
        <v>6211</v>
      </c>
      <c r="J260" s="8" t="n">
        <v>5524</v>
      </c>
      <c r="K260" s="8" t="n">
        <v>3449</v>
      </c>
      <c r="L260" s="8" t="n">
        <v>7089</v>
      </c>
      <c r="M260" s="8" t="n">
        <v>2953</v>
      </c>
      <c r="N260" s="8" t="n">
        <v>4732</v>
      </c>
      <c r="O260" s="8" t="n">
        <f aca="false">E260+G260+I260+K260+M260</f>
        <v>28324</v>
      </c>
      <c r="P260" s="8" t="n">
        <f aca="false">F260+H260+J260+L260+N260</f>
        <v>33153</v>
      </c>
      <c r="Q260" s="8" t="n">
        <f aca="false">SUM(O260:P260)</f>
        <v>61477</v>
      </c>
      <c r="R260" s="9" t="n">
        <f aca="false">(O260/Q260)*100</f>
        <v>46.0725149242806</v>
      </c>
      <c r="S260" s="9" t="n">
        <f aca="false">(P260/Q260)*100</f>
        <v>53.9274850757194</v>
      </c>
    </row>
    <row r="261" customFormat="false" ht="12.8" hidden="false" customHeight="false" outlineLevel="0" collapsed="false">
      <c r="A261" s="6" t="s">
        <v>114</v>
      </c>
      <c r="B261" s="7" t="s">
        <v>563</v>
      </c>
      <c r="C261" s="6" t="s">
        <v>576</v>
      </c>
      <c r="D261" s="7" t="s">
        <v>577</v>
      </c>
      <c r="E261" s="8" t="n">
        <v>4374</v>
      </c>
      <c r="F261" s="8" t="n">
        <v>5357</v>
      </c>
      <c r="G261" s="8" t="n">
        <v>10235</v>
      </c>
      <c r="H261" s="8" t="n">
        <v>8655</v>
      </c>
      <c r="I261" s="8" t="n">
        <v>4679</v>
      </c>
      <c r="J261" s="8" t="n">
        <v>4837</v>
      </c>
      <c r="K261" s="8" t="n">
        <v>3136</v>
      </c>
      <c r="L261" s="8" t="n">
        <v>3986</v>
      </c>
      <c r="M261" s="8" t="n">
        <v>2701</v>
      </c>
      <c r="N261" s="8" t="n">
        <v>3097</v>
      </c>
      <c r="O261" s="8" t="n">
        <f aca="false">E261+G261+I261+K261+M261</f>
        <v>25125</v>
      </c>
      <c r="P261" s="8" t="n">
        <f aca="false">F261+H261+J261+L261+N261</f>
        <v>25932</v>
      </c>
      <c r="Q261" s="8" t="n">
        <f aca="false">SUM(O261:P261)</f>
        <v>51057</v>
      </c>
      <c r="R261" s="9" t="n">
        <f aca="false">(O261/Q261)*100</f>
        <v>49.2097067982843</v>
      </c>
      <c r="S261" s="9" t="n">
        <f aca="false">(P261/Q261)*100</f>
        <v>50.7902932017157</v>
      </c>
    </row>
    <row r="262" customFormat="false" ht="12.8" hidden="false" customHeight="false" outlineLevel="0" collapsed="false">
      <c r="A262" s="6" t="s">
        <v>114</v>
      </c>
      <c r="B262" s="7" t="s">
        <v>563</v>
      </c>
      <c r="C262" s="6" t="s">
        <v>578</v>
      </c>
      <c r="D262" s="7" t="s">
        <v>579</v>
      </c>
      <c r="E262" s="8" t="n">
        <v>2955</v>
      </c>
      <c r="F262" s="8" t="n">
        <v>3668</v>
      </c>
      <c r="G262" s="8" t="n">
        <v>6753</v>
      </c>
      <c r="H262" s="8" t="n">
        <v>5340</v>
      </c>
      <c r="I262" s="8" t="n">
        <v>3200</v>
      </c>
      <c r="J262" s="8" t="n">
        <v>3192</v>
      </c>
      <c r="K262" s="8" t="n">
        <v>2072</v>
      </c>
      <c r="L262" s="8" t="n">
        <v>3460</v>
      </c>
      <c r="M262" s="8" t="n">
        <v>1720</v>
      </c>
      <c r="N262" s="8" t="n">
        <v>2794</v>
      </c>
      <c r="O262" s="8" t="n">
        <f aca="false">E262+G262+I262+K262+M262</f>
        <v>16700</v>
      </c>
      <c r="P262" s="8" t="n">
        <f aca="false">F262+H262+J262+L262+N262</f>
        <v>18454</v>
      </c>
      <c r="Q262" s="8" t="n">
        <f aca="false">SUM(O262:P262)</f>
        <v>35154</v>
      </c>
      <c r="R262" s="9" t="n">
        <f aca="false">(O262/Q262)*100</f>
        <v>47.505262559026</v>
      </c>
      <c r="S262" s="9" t="n">
        <f aca="false">(P262/Q262)*100</f>
        <v>52.494737440974</v>
      </c>
    </row>
    <row r="263" customFormat="false" ht="12.8" hidden="false" customHeight="false" outlineLevel="0" collapsed="false">
      <c r="A263" s="6" t="s">
        <v>117</v>
      </c>
      <c r="B263" s="7" t="s">
        <v>580</v>
      </c>
      <c r="C263" s="6" t="s">
        <v>581</v>
      </c>
      <c r="D263" s="7" t="s">
        <v>582</v>
      </c>
      <c r="E263" s="8" t="n">
        <v>3880</v>
      </c>
      <c r="F263" s="8" t="n">
        <v>5119</v>
      </c>
      <c r="G263" s="8" t="n">
        <v>9023</v>
      </c>
      <c r="H263" s="8" t="n">
        <v>8343</v>
      </c>
      <c r="I263" s="8" t="n">
        <v>5051</v>
      </c>
      <c r="J263" s="8" t="n">
        <v>5235</v>
      </c>
      <c r="K263" s="8" t="n">
        <v>2778</v>
      </c>
      <c r="L263" s="8" t="n">
        <v>5579</v>
      </c>
      <c r="M263" s="8" t="n">
        <v>2939</v>
      </c>
      <c r="N263" s="8" t="n">
        <v>4677</v>
      </c>
      <c r="O263" s="8" t="n">
        <f aca="false">E263+G263+I263+K263+M263</f>
        <v>23671</v>
      </c>
      <c r="P263" s="8" t="n">
        <f aca="false">F263+H263+J263+L263+N263</f>
        <v>28953</v>
      </c>
      <c r="Q263" s="8" t="n">
        <f aca="false">SUM(O263:P263)</f>
        <v>52624</v>
      </c>
      <c r="R263" s="9" t="n">
        <f aca="false">(O263/Q263)*100</f>
        <v>44.9813773183338</v>
      </c>
      <c r="S263" s="9" t="n">
        <f aca="false">(P263/Q263)*100</f>
        <v>55.0186226816662</v>
      </c>
    </row>
    <row r="264" customFormat="false" ht="12.8" hidden="false" customHeight="false" outlineLevel="0" collapsed="false">
      <c r="A264" s="6" t="s">
        <v>117</v>
      </c>
      <c r="B264" s="7" t="s">
        <v>580</v>
      </c>
      <c r="C264" s="6" t="s">
        <v>583</v>
      </c>
      <c r="D264" s="7" t="s">
        <v>584</v>
      </c>
      <c r="E264" s="8" t="n">
        <v>4054</v>
      </c>
      <c r="F264" s="8" t="n">
        <v>5882</v>
      </c>
      <c r="G264" s="8" t="n">
        <v>11977</v>
      </c>
      <c r="H264" s="8" t="n">
        <v>11299</v>
      </c>
      <c r="I264" s="8" t="n">
        <v>6095</v>
      </c>
      <c r="J264" s="8" t="n">
        <v>6614</v>
      </c>
      <c r="K264" s="8" t="n">
        <v>3917</v>
      </c>
      <c r="L264" s="8" t="n">
        <v>7553</v>
      </c>
      <c r="M264" s="8" t="n">
        <v>3949</v>
      </c>
      <c r="N264" s="8" t="n">
        <v>6005</v>
      </c>
      <c r="O264" s="8" t="n">
        <f aca="false">E264+G264+I264+K264+M264</f>
        <v>29992</v>
      </c>
      <c r="P264" s="8" t="n">
        <f aca="false">F264+H264+J264+L264+N264</f>
        <v>37353</v>
      </c>
      <c r="Q264" s="8" t="n">
        <f aca="false">SUM(O264:P264)</f>
        <v>67345</v>
      </c>
      <c r="R264" s="9" t="n">
        <f aca="false">(O264/Q264)*100</f>
        <v>44.5348578216646</v>
      </c>
      <c r="S264" s="9" t="n">
        <f aca="false">(P264/Q264)*100</f>
        <v>55.4651421783354</v>
      </c>
    </row>
    <row r="265" customFormat="false" ht="12.8" hidden="false" customHeight="false" outlineLevel="0" collapsed="false">
      <c r="A265" s="6" t="s">
        <v>117</v>
      </c>
      <c r="B265" s="7" t="s">
        <v>580</v>
      </c>
      <c r="C265" s="6" t="s">
        <v>585</v>
      </c>
      <c r="D265" s="7" t="s">
        <v>586</v>
      </c>
      <c r="E265" s="8" t="n">
        <v>3224</v>
      </c>
      <c r="F265" s="8" t="n">
        <v>4310</v>
      </c>
      <c r="G265" s="8" t="n">
        <v>8551</v>
      </c>
      <c r="H265" s="8" t="n">
        <v>7482</v>
      </c>
      <c r="I265" s="8" t="n">
        <v>4725</v>
      </c>
      <c r="J265" s="8" t="n">
        <v>4931</v>
      </c>
      <c r="K265" s="8" t="n">
        <v>2550</v>
      </c>
      <c r="L265" s="8" t="n">
        <v>5561</v>
      </c>
      <c r="M265" s="8" t="n">
        <v>2858</v>
      </c>
      <c r="N265" s="8" t="n">
        <v>4889</v>
      </c>
      <c r="O265" s="8" t="n">
        <f aca="false">E265+G265+I265+K265+M265</f>
        <v>21908</v>
      </c>
      <c r="P265" s="8" t="n">
        <f aca="false">F265+H265+J265+L265+N265</f>
        <v>27173</v>
      </c>
      <c r="Q265" s="8" t="n">
        <f aca="false">SUM(O265:P265)</f>
        <v>49081</v>
      </c>
      <c r="R265" s="9" t="n">
        <f aca="false">(O265/Q265)*100</f>
        <v>44.6364173509097</v>
      </c>
      <c r="S265" s="9" t="n">
        <f aca="false">(P265/Q265)*100</f>
        <v>55.3635826490903</v>
      </c>
    </row>
    <row r="266" customFormat="false" ht="12.8" hidden="false" customHeight="false" outlineLevel="0" collapsed="false">
      <c r="A266" s="6" t="s">
        <v>117</v>
      </c>
      <c r="B266" s="7" t="s">
        <v>580</v>
      </c>
      <c r="C266" s="6" t="s">
        <v>587</v>
      </c>
      <c r="D266" s="7" t="s">
        <v>588</v>
      </c>
      <c r="E266" s="8" t="n">
        <v>6425</v>
      </c>
      <c r="F266" s="8" t="n">
        <v>7908</v>
      </c>
      <c r="G266" s="8" t="n">
        <v>15424</v>
      </c>
      <c r="H266" s="8" t="n">
        <v>13445</v>
      </c>
      <c r="I266" s="8" t="n">
        <v>8265</v>
      </c>
      <c r="J266" s="8" t="n">
        <v>8489</v>
      </c>
      <c r="K266" s="8" t="n">
        <v>5013</v>
      </c>
      <c r="L266" s="8" t="n">
        <v>10114</v>
      </c>
      <c r="M266" s="8" t="n">
        <v>5350</v>
      </c>
      <c r="N266" s="8" t="n">
        <v>8877</v>
      </c>
      <c r="O266" s="8" t="n">
        <f aca="false">E266+G266+I266+K266+M266</f>
        <v>40477</v>
      </c>
      <c r="P266" s="8" t="n">
        <f aca="false">F266+H266+J266+L266+N266</f>
        <v>48833</v>
      </c>
      <c r="Q266" s="8" t="n">
        <f aca="false">SUM(O266:P266)</f>
        <v>89310</v>
      </c>
      <c r="R266" s="9" t="n">
        <f aca="false">(O266/Q266)*100</f>
        <v>45.3219124398164</v>
      </c>
      <c r="S266" s="9" t="n">
        <f aca="false">(P266/Q266)*100</f>
        <v>54.6780875601836</v>
      </c>
    </row>
    <row r="267" customFormat="false" ht="12.8" hidden="false" customHeight="false" outlineLevel="0" collapsed="false">
      <c r="A267" s="6" t="s">
        <v>117</v>
      </c>
      <c r="B267" s="7" t="s">
        <v>580</v>
      </c>
      <c r="C267" s="6" t="s">
        <v>589</v>
      </c>
      <c r="D267" s="7" t="s">
        <v>590</v>
      </c>
      <c r="E267" s="8" t="n">
        <v>3174</v>
      </c>
      <c r="F267" s="8" t="n">
        <v>3772</v>
      </c>
      <c r="G267" s="8" t="n">
        <v>7314</v>
      </c>
      <c r="H267" s="8" t="n">
        <v>6349</v>
      </c>
      <c r="I267" s="8" t="n">
        <v>3975</v>
      </c>
      <c r="J267" s="8" t="n">
        <v>4067</v>
      </c>
      <c r="K267" s="8" t="n">
        <v>2199</v>
      </c>
      <c r="L267" s="8" t="n">
        <v>4637</v>
      </c>
      <c r="M267" s="8" t="n">
        <v>2369</v>
      </c>
      <c r="N267" s="8" t="n">
        <v>3889</v>
      </c>
      <c r="O267" s="8" t="n">
        <f aca="false">E267+G267+I267+K267+M267</f>
        <v>19031</v>
      </c>
      <c r="P267" s="8" t="n">
        <f aca="false">F267+H267+J267+L267+N267</f>
        <v>22714</v>
      </c>
      <c r="Q267" s="8" t="n">
        <f aca="false">SUM(O267:P267)</f>
        <v>41745</v>
      </c>
      <c r="R267" s="9" t="n">
        <f aca="false">(O267/Q267)*100</f>
        <v>45.5886932566775</v>
      </c>
      <c r="S267" s="9" t="n">
        <f aca="false">(P267/Q267)*100</f>
        <v>54.4113067433226</v>
      </c>
    </row>
    <row r="268" customFormat="false" ht="12.8" hidden="false" customHeight="false" outlineLevel="0" collapsed="false">
      <c r="A268" s="6" t="s">
        <v>117</v>
      </c>
      <c r="B268" s="7" t="s">
        <v>580</v>
      </c>
      <c r="C268" s="6" t="s">
        <v>591</v>
      </c>
      <c r="D268" s="7" t="s">
        <v>592</v>
      </c>
      <c r="E268" s="8" t="n">
        <v>3980</v>
      </c>
      <c r="F268" s="8" t="n">
        <v>5032</v>
      </c>
      <c r="G268" s="8" t="n">
        <v>9735</v>
      </c>
      <c r="H268" s="8" t="n">
        <v>8597</v>
      </c>
      <c r="I268" s="8" t="n">
        <v>6064</v>
      </c>
      <c r="J268" s="8" t="n">
        <v>5759</v>
      </c>
      <c r="K268" s="8" t="n">
        <v>3473</v>
      </c>
      <c r="L268" s="8" t="n">
        <v>6824</v>
      </c>
      <c r="M268" s="8" t="n">
        <v>3650</v>
      </c>
      <c r="N268" s="8" t="n">
        <v>5950</v>
      </c>
      <c r="O268" s="8" t="n">
        <f aca="false">E268+G268+I268+K268+M268</f>
        <v>26902</v>
      </c>
      <c r="P268" s="8" t="n">
        <f aca="false">F268+H268+J268+L268+N268</f>
        <v>32162</v>
      </c>
      <c r="Q268" s="8" t="n">
        <f aca="false">SUM(O268:P268)</f>
        <v>59064</v>
      </c>
      <c r="R268" s="9" t="n">
        <f aca="false">(O268/Q268)*100</f>
        <v>45.547203033997</v>
      </c>
      <c r="S268" s="9" t="n">
        <f aca="false">(P268/Q268)*100</f>
        <v>54.452796966003</v>
      </c>
    </row>
    <row r="269" customFormat="false" ht="12.8" hidden="false" customHeight="false" outlineLevel="0" collapsed="false">
      <c r="A269" s="6" t="s">
        <v>117</v>
      </c>
      <c r="B269" s="7" t="s">
        <v>580</v>
      </c>
      <c r="C269" s="6" t="s">
        <v>593</v>
      </c>
      <c r="D269" s="7" t="s">
        <v>594</v>
      </c>
      <c r="E269" s="8" t="n">
        <v>6548</v>
      </c>
      <c r="F269" s="8" t="n">
        <v>7754</v>
      </c>
      <c r="G269" s="8" t="n">
        <v>14061</v>
      </c>
      <c r="H269" s="8" t="n">
        <v>13093</v>
      </c>
      <c r="I269" s="8" t="n">
        <v>7021</v>
      </c>
      <c r="J269" s="8" t="n">
        <v>7569</v>
      </c>
      <c r="K269" s="8" t="n">
        <v>4082</v>
      </c>
      <c r="L269" s="8" t="n">
        <v>6876</v>
      </c>
      <c r="M269" s="8" t="n">
        <v>4341</v>
      </c>
      <c r="N269" s="8" t="n">
        <v>6384</v>
      </c>
      <c r="O269" s="8" t="n">
        <f aca="false">E269+G269+I269+K269+M269</f>
        <v>36053</v>
      </c>
      <c r="P269" s="8" t="n">
        <f aca="false">F269+H269+J269+L269+N269</f>
        <v>41676</v>
      </c>
      <c r="Q269" s="8" t="n">
        <f aca="false">SUM(O269:P269)</f>
        <v>77729</v>
      </c>
      <c r="R269" s="9" t="n">
        <f aca="false">(O269/Q269)*100</f>
        <v>46.3829458760566</v>
      </c>
      <c r="S269" s="9" t="n">
        <f aca="false">(P269/Q269)*100</f>
        <v>53.6170541239434</v>
      </c>
    </row>
    <row r="270" customFormat="false" ht="12.8" hidden="false" customHeight="false" outlineLevel="0" collapsed="false">
      <c r="A270" s="6" t="s">
        <v>117</v>
      </c>
      <c r="B270" s="7" t="s">
        <v>580</v>
      </c>
      <c r="C270" s="6" t="s">
        <v>595</v>
      </c>
      <c r="D270" s="7" t="s">
        <v>596</v>
      </c>
      <c r="E270" s="8" t="n">
        <v>3627</v>
      </c>
      <c r="F270" s="8" t="n">
        <v>4318</v>
      </c>
      <c r="G270" s="8" t="n">
        <v>8434</v>
      </c>
      <c r="H270" s="8" t="n">
        <v>6891</v>
      </c>
      <c r="I270" s="8" t="n">
        <v>4469</v>
      </c>
      <c r="J270" s="8" t="n">
        <v>4723</v>
      </c>
      <c r="K270" s="8" t="n">
        <v>2832</v>
      </c>
      <c r="L270" s="8" t="n">
        <v>6591</v>
      </c>
      <c r="M270" s="8" t="n">
        <v>2975</v>
      </c>
      <c r="N270" s="8" t="n">
        <v>5805</v>
      </c>
      <c r="O270" s="8" t="n">
        <f aca="false">E270+G270+I270+K270+M270</f>
        <v>22337</v>
      </c>
      <c r="P270" s="8" t="n">
        <f aca="false">F270+H270+J270+L270+N270</f>
        <v>28328</v>
      </c>
      <c r="Q270" s="8" t="n">
        <f aca="false">SUM(O270:P270)</f>
        <v>50665</v>
      </c>
      <c r="R270" s="9" t="n">
        <f aca="false">(O270/Q270)*100</f>
        <v>44.0876344616599</v>
      </c>
      <c r="S270" s="9" t="n">
        <f aca="false">(P270/Q270)*100</f>
        <v>55.9123655383401</v>
      </c>
    </row>
    <row r="271" customFormat="false" ht="12.8" hidden="false" customHeight="false" outlineLevel="0" collapsed="false">
      <c r="A271" s="6" t="s">
        <v>117</v>
      </c>
      <c r="B271" s="7" t="s">
        <v>580</v>
      </c>
      <c r="C271" s="6" t="s">
        <v>597</v>
      </c>
      <c r="D271" s="7" t="s">
        <v>598</v>
      </c>
      <c r="E271" s="8" t="n">
        <v>4744</v>
      </c>
      <c r="F271" s="8" t="n">
        <v>5516</v>
      </c>
      <c r="G271" s="8" t="n">
        <v>10856</v>
      </c>
      <c r="H271" s="8" t="n">
        <v>9997</v>
      </c>
      <c r="I271" s="8" t="n">
        <v>5377</v>
      </c>
      <c r="J271" s="8" t="n">
        <v>5889</v>
      </c>
      <c r="K271" s="8" t="n">
        <v>3211</v>
      </c>
      <c r="L271" s="8" t="n">
        <v>5491</v>
      </c>
      <c r="M271" s="8" t="n">
        <v>3298</v>
      </c>
      <c r="N271" s="8" t="n">
        <v>4638</v>
      </c>
      <c r="O271" s="8" t="n">
        <f aca="false">E271+G271+I271+K271+M271</f>
        <v>27486</v>
      </c>
      <c r="P271" s="8" t="n">
        <f aca="false">F271+H271+J271+L271+N271</f>
        <v>31531</v>
      </c>
      <c r="Q271" s="8" t="n">
        <f aca="false">SUM(O271:P271)</f>
        <v>59017</v>
      </c>
      <c r="R271" s="9" t="n">
        <f aca="false">(O271/Q271)*100</f>
        <v>46.5730213328363</v>
      </c>
      <c r="S271" s="9" t="n">
        <f aca="false">(P271/Q271)*100</f>
        <v>53.4269786671637</v>
      </c>
    </row>
    <row r="272" customFormat="false" ht="12.8" hidden="false" customHeight="false" outlineLevel="0" collapsed="false">
      <c r="A272" s="6" t="s">
        <v>119</v>
      </c>
      <c r="B272" s="7" t="s">
        <v>599</v>
      </c>
      <c r="C272" s="6" t="s">
        <v>600</v>
      </c>
      <c r="D272" s="7" t="s">
        <v>601</v>
      </c>
      <c r="E272" s="8" t="n">
        <v>5984</v>
      </c>
      <c r="F272" s="8" t="n">
        <v>7634</v>
      </c>
      <c r="G272" s="8" t="n">
        <v>16713</v>
      </c>
      <c r="H272" s="8" t="n">
        <v>13687</v>
      </c>
      <c r="I272" s="8" t="n">
        <v>9038</v>
      </c>
      <c r="J272" s="8" t="n">
        <v>9036</v>
      </c>
      <c r="K272" s="8" t="n">
        <v>5250</v>
      </c>
      <c r="L272" s="8" t="n">
        <v>10872</v>
      </c>
      <c r="M272" s="8" t="n">
        <v>5637</v>
      </c>
      <c r="N272" s="8" t="n">
        <v>9395</v>
      </c>
      <c r="O272" s="8" t="n">
        <f aca="false">E272+G272+I272+K272+M272</f>
        <v>42622</v>
      </c>
      <c r="P272" s="8" t="n">
        <f aca="false">F272+H272+J272+L272+N272</f>
        <v>50624</v>
      </c>
      <c r="Q272" s="8" t="n">
        <f aca="false">SUM(O272:P272)</f>
        <v>93246</v>
      </c>
      <c r="R272" s="9" t="n">
        <f aca="false">(O272/Q272)*100</f>
        <v>45.7091993222229</v>
      </c>
      <c r="S272" s="9" t="n">
        <f aca="false">(P272/Q272)*100</f>
        <v>54.2908006777771</v>
      </c>
    </row>
    <row r="273" customFormat="false" ht="12.8" hidden="false" customHeight="false" outlineLevel="0" collapsed="false">
      <c r="A273" s="6" t="s">
        <v>119</v>
      </c>
      <c r="B273" s="7" t="s">
        <v>599</v>
      </c>
      <c r="C273" s="6" t="s">
        <v>602</v>
      </c>
      <c r="D273" s="7" t="s">
        <v>603</v>
      </c>
      <c r="E273" s="8" t="n">
        <v>5010</v>
      </c>
      <c r="F273" s="8" t="n">
        <v>6513</v>
      </c>
      <c r="G273" s="8" t="n">
        <v>13100</v>
      </c>
      <c r="H273" s="8" t="n">
        <v>12047</v>
      </c>
      <c r="I273" s="8" t="n">
        <v>7078</v>
      </c>
      <c r="J273" s="8" t="n">
        <v>7399</v>
      </c>
      <c r="K273" s="8" t="n">
        <v>4407</v>
      </c>
      <c r="L273" s="8" t="n">
        <v>8248</v>
      </c>
      <c r="M273" s="8" t="n">
        <v>4803</v>
      </c>
      <c r="N273" s="8" t="n">
        <v>7787</v>
      </c>
      <c r="O273" s="8" t="n">
        <f aca="false">E273+G273+I273+K273+M273</f>
        <v>34398</v>
      </c>
      <c r="P273" s="8" t="n">
        <f aca="false">F273+H273+J273+L273+N273</f>
        <v>41994</v>
      </c>
      <c r="Q273" s="8" t="n">
        <f aca="false">SUM(O273:P273)</f>
        <v>76392</v>
      </c>
      <c r="R273" s="9" t="n">
        <f aca="false">(O273/Q273)*100</f>
        <v>45.0282752120641</v>
      </c>
      <c r="S273" s="9" t="n">
        <f aca="false">(P273/Q273)*100</f>
        <v>54.9717247879359</v>
      </c>
    </row>
    <row r="274" customFormat="false" ht="12.8" hidden="false" customHeight="false" outlineLevel="0" collapsed="false">
      <c r="A274" s="6" t="s">
        <v>119</v>
      </c>
      <c r="B274" s="7" t="s">
        <v>599</v>
      </c>
      <c r="C274" s="6" t="s">
        <v>604</v>
      </c>
      <c r="D274" s="7" t="s">
        <v>605</v>
      </c>
      <c r="E274" s="8" t="n">
        <v>3461</v>
      </c>
      <c r="F274" s="8" t="n">
        <v>4460</v>
      </c>
      <c r="G274" s="8" t="n">
        <v>9455</v>
      </c>
      <c r="H274" s="8" t="n">
        <v>8385</v>
      </c>
      <c r="I274" s="8" t="n">
        <v>5336</v>
      </c>
      <c r="J274" s="8" t="n">
        <v>5600</v>
      </c>
      <c r="K274" s="8" t="n">
        <v>2788</v>
      </c>
      <c r="L274" s="8" t="n">
        <v>5622</v>
      </c>
      <c r="M274" s="8" t="n">
        <v>3457</v>
      </c>
      <c r="N274" s="8" t="n">
        <v>5742</v>
      </c>
      <c r="O274" s="8" t="n">
        <f aca="false">E274+G274+I274+K274+M274</f>
        <v>24497</v>
      </c>
      <c r="P274" s="8" t="n">
        <f aca="false">F274+H274+J274+L274+N274</f>
        <v>29809</v>
      </c>
      <c r="Q274" s="8" t="n">
        <f aca="false">SUM(O274:P274)</f>
        <v>54306</v>
      </c>
      <c r="R274" s="9" t="n">
        <f aca="false">(O274/Q274)*100</f>
        <v>45.1091960372703</v>
      </c>
      <c r="S274" s="9" t="n">
        <f aca="false">(P274/Q274)*100</f>
        <v>54.8908039627297</v>
      </c>
    </row>
    <row r="275" customFormat="false" ht="12.8" hidden="false" customHeight="false" outlineLevel="0" collapsed="false">
      <c r="A275" s="6" t="s">
        <v>119</v>
      </c>
      <c r="B275" s="7" t="s">
        <v>599</v>
      </c>
      <c r="C275" s="6" t="s">
        <v>606</v>
      </c>
      <c r="D275" s="7" t="s">
        <v>607</v>
      </c>
      <c r="E275" s="8" t="n">
        <v>3600</v>
      </c>
      <c r="F275" s="8" t="n">
        <v>4309</v>
      </c>
      <c r="G275" s="8" t="n">
        <v>9454</v>
      </c>
      <c r="H275" s="8" t="n">
        <v>8765</v>
      </c>
      <c r="I275" s="8" t="n">
        <v>5554</v>
      </c>
      <c r="J275" s="8" t="n">
        <v>6093</v>
      </c>
      <c r="K275" s="8" t="n">
        <v>3343</v>
      </c>
      <c r="L275" s="8" t="n">
        <v>4894</v>
      </c>
      <c r="M275" s="8" t="n">
        <v>3959</v>
      </c>
      <c r="N275" s="8" t="n">
        <v>4938</v>
      </c>
      <c r="O275" s="8" t="n">
        <f aca="false">E275+G275+I275+K275+M275</f>
        <v>25910</v>
      </c>
      <c r="P275" s="8" t="n">
        <f aca="false">F275+H275+J275+L275+N275</f>
        <v>28999</v>
      </c>
      <c r="Q275" s="8" t="n">
        <f aca="false">SUM(O275:P275)</f>
        <v>54909</v>
      </c>
      <c r="R275" s="9" t="n">
        <f aca="false">(O275/Q275)*100</f>
        <v>47.1871642171593</v>
      </c>
      <c r="S275" s="9" t="n">
        <f aca="false">(P275/Q275)*100</f>
        <v>52.8128357828407</v>
      </c>
    </row>
    <row r="276" customFormat="false" ht="12.8" hidden="false" customHeight="false" outlineLevel="0" collapsed="false">
      <c r="A276" s="6" t="s">
        <v>121</v>
      </c>
      <c r="B276" s="7" t="s">
        <v>608</v>
      </c>
      <c r="C276" s="6" t="s">
        <v>609</v>
      </c>
      <c r="D276" s="7" t="s">
        <v>610</v>
      </c>
      <c r="E276" s="8" t="n">
        <v>10681</v>
      </c>
      <c r="F276" s="8" t="n">
        <v>13208</v>
      </c>
      <c r="G276" s="8" t="n">
        <v>25717</v>
      </c>
      <c r="H276" s="8" t="n">
        <v>33231</v>
      </c>
      <c r="I276" s="8" t="n">
        <v>14234</v>
      </c>
      <c r="J276" s="8" t="n">
        <v>21240</v>
      </c>
      <c r="K276" s="8" t="n">
        <v>7502</v>
      </c>
      <c r="L276" s="8" t="n">
        <v>5189</v>
      </c>
      <c r="M276" s="8" t="n">
        <v>11995</v>
      </c>
      <c r="N276" s="8" t="n">
        <v>9721</v>
      </c>
      <c r="O276" s="8" t="n">
        <f aca="false">E276+G276+I276+K276+M276</f>
        <v>70129</v>
      </c>
      <c r="P276" s="8" t="n">
        <f aca="false">F276+H276+J276+L276+N276</f>
        <v>82589</v>
      </c>
      <c r="Q276" s="8" t="n">
        <f aca="false">SUM(O276:P276)</f>
        <v>152718</v>
      </c>
      <c r="R276" s="9" t="n">
        <f aca="false">(O276/Q276)*100</f>
        <v>45.9205856546052</v>
      </c>
      <c r="S276" s="9" t="n">
        <f aca="false">(P276/Q276)*100</f>
        <v>54.0794143453948</v>
      </c>
    </row>
    <row r="277" customFormat="false" ht="12.8" hidden="false" customHeight="false" outlineLevel="0" collapsed="false">
      <c r="A277" s="6" t="s">
        <v>121</v>
      </c>
      <c r="B277" s="7" t="s">
        <v>608</v>
      </c>
      <c r="C277" s="6" t="s">
        <v>611</v>
      </c>
      <c r="D277" s="7" t="s">
        <v>612</v>
      </c>
      <c r="E277" s="8" t="n">
        <v>11934</v>
      </c>
      <c r="F277" s="8" t="n">
        <v>13785</v>
      </c>
      <c r="G277" s="8" t="n">
        <v>27195</v>
      </c>
      <c r="H277" s="8" t="n">
        <v>32049</v>
      </c>
      <c r="I277" s="8" t="n">
        <v>15239</v>
      </c>
      <c r="J277" s="8" t="n">
        <v>19003</v>
      </c>
      <c r="K277" s="8" t="n">
        <v>7360</v>
      </c>
      <c r="L277" s="8" t="n">
        <v>4260</v>
      </c>
      <c r="M277" s="8" t="n">
        <v>10167</v>
      </c>
      <c r="N277" s="8" t="n">
        <v>6222</v>
      </c>
      <c r="O277" s="8" t="n">
        <f aca="false">E277+G277+I277+K277+M277</f>
        <v>71895</v>
      </c>
      <c r="P277" s="8" t="n">
        <f aca="false">F277+H277+J277+L277+N277</f>
        <v>75319</v>
      </c>
      <c r="Q277" s="8" t="n">
        <f aca="false">SUM(O277:P277)</f>
        <v>147214</v>
      </c>
      <c r="R277" s="9" t="n">
        <f aca="false">(O277/Q277)*100</f>
        <v>48.8370671267678</v>
      </c>
      <c r="S277" s="9" t="n">
        <f aca="false">(P277/Q277)*100</f>
        <v>51.1629328732322</v>
      </c>
    </row>
    <row r="278" customFormat="false" ht="12.8" hidden="false" customHeight="false" outlineLevel="0" collapsed="false">
      <c r="A278" s="6" t="s">
        <v>121</v>
      </c>
      <c r="B278" s="7" t="s">
        <v>608</v>
      </c>
      <c r="C278" s="6" t="s">
        <v>613</v>
      </c>
      <c r="D278" s="7" t="s">
        <v>614</v>
      </c>
      <c r="E278" s="8" t="n">
        <v>9145</v>
      </c>
      <c r="F278" s="8" t="n">
        <v>9447</v>
      </c>
      <c r="G278" s="8" t="n">
        <v>21978</v>
      </c>
      <c r="H278" s="8" t="n">
        <v>21928</v>
      </c>
      <c r="I278" s="8" t="n">
        <v>11440</v>
      </c>
      <c r="J278" s="8" t="n">
        <v>12809</v>
      </c>
      <c r="K278" s="8" t="n">
        <v>5255</v>
      </c>
      <c r="L278" s="8" t="n">
        <v>4189</v>
      </c>
      <c r="M278" s="8" t="n">
        <v>6644</v>
      </c>
      <c r="N278" s="8" t="n">
        <v>4404</v>
      </c>
      <c r="O278" s="8" t="n">
        <f aca="false">E278+G278+I278+K278+M278</f>
        <v>54462</v>
      </c>
      <c r="P278" s="8" t="n">
        <f aca="false">F278+H278+J278+L278+N278</f>
        <v>52777</v>
      </c>
      <c r="Q278" s="8" t="n">
        <f aca="false">SUM(O278:P278)</f>
        <v>107239</v>
      </c>
      <c r="R278" s="9" t="n">
        <f aca="false">(O278/Q278)*100</f>
        <v>50.7856283628158</v>
      </c>
      <c r="S278" s="9" t="n">
        <f aca="false">(P278/Q278)*100</f>
        <v>49.2143716371842</v>
      </c>
    </row>
    <row r="279" customFormat="false" ht="12.8" hidden="false" customHeight="false" outlineLevel="0" collapsed="false">
      <c r="A279" s="6" t="s">
        <v>121</v>
      </c>
      <c r="B279" s="7" t="s">
        <v>608</v>
      </c>
      <c r="C279" s="6" t="s">
        <v>615</v>
      </c>
      <c r="D279" s="7" t="s">
        <v>616</v>
      </c>
      <c r="E279" s="8" t="n">
        <v>9961</v>
      </c>
      <c r="F279" s="8" t="n">
        <v>12963</v>
      </c>
      <c r="G279" s="8" t="n">
        <v>22643</v>
      </c>
      <c r="H279" s="8" t="n">
        <v>28695</v>
      </c>
      <c r="I279" s="8" t="n">
        <v>13159</v>
      </c>
      <c r="J279" s="8" t="n">
        <v>17384</v>
      </c>
      <c r="K279" s="8" t="n">
        <v>6679</v>
      </c>
      <c r="L279" s="8" t="n">
        <v>4632</v>
      </c>
      <c r="M279" s="8" t="n">
        <v>9735</v>
      </c>
      <c r="N279" s="8" t="n">
        <v>6721</v>
      </c>
      <c r="O279" s="8" t="n">
        <f aca="false">E279+G279+I279+K279+M279</f>
        <v>62177</v>
      </c>
      <c r="P279" s="8" t="n">
        <f aca="false">F279+H279+J279+L279+N279</f>
        <v>70395</v>
      </c>
      <c r="Q279" s="8" t="n">
        <f aca="false">SUM(O279:P279)</f>
        <v>132572</v>
      </c>
      <c r="R279" s="9" t="n">
        <f aca="false">(O279/Q279)*100</f>
        <v>46.9005521527924</v>
      </c>
      <c r="S279" s="9" t="n">
        <f aca="false">(P279/Q279)*100</f>
        <v>53.0994478472076</v>
      </c>
    </row>
    <row r="280" customFormat="false" ht="12.8" hidden="false" customHeight="false" outlineLevel="0" collapsed="false">
      <c r="A280" s="6" t="s">
        <v>121</v>
      </c>
      <c r="B280" s="7" t="s">
        <v>608</v>
      </c>
      <c r="C280" s="6" t="s">
        <v>617</v>
      </c>
      <c r="D280" s="7" t="s">
        <v>618</v>
      </c>
      <c r="E280" s="8" t="n">
        <v>9636</v>
      </c>
      <c r="F280" s="8" t="n">
        <v>11178</v>
      </c>
      <c r="G280" s="8" t="n">
        <v>21246</v>
      </c>
      <c r="H280" s="8" t="n">
        <v>25641</v>
      </c>
      <c r="I280" s="8" t="n">
        <v>10836</v>
      </c>
      <c r="J280" s="8" t="n">
        <v>16048</v>
      </c>
      <c r="K280" s="8" t="n">
        <v>5575</v>
      </c>
      <c r="L280" s="8" t="n">
        <v>3283</v>
      </c>
      <c r="M280" s="8" t="n">
        <v>9135</v>
      </c>
      <c r="N280" s="8" t="n">
        <v>5698</v>
      </c>
      <c r="O280" s="8" t="n">
        <f aca="false">E280+G280+I280+K280+M280</f>
        <v>56428</v>
      </c>
      <c r="P280" s="8" t="n">
        <f aca="false">F280+H280+J280+L280+N280</f>
        <v>61848</v>
      </c>
      <c r="Q280" s="8" t="n">
        <f aca="false">SUM(O280:P280)</f>
        <v>118276</v>
      </c>
      <c r="R280" s="9" t="n">
        <f aca="false">(O280/Q280)*100</f>
        <v>47.7087490276979</v>
      </c>
      <c r="S280" s="9" t="n">
        <f aca="false">(P280/Q280)*100</f>
        <v>52.2912509723021</v>
      </c>
    </row>
    <row r="281" customFormat="false" ht="12.8" hidden="false" customHeight="false" outlineLevel="0" collapsed="false">
      <c r="A281" s="6" t="s">
        <v>121</v>
      </c>
      <c r="B281" s="7" t="s">
        <v>608</v>
      </c>
      <c r="C281" s="6" t="s">
        <v>619</v>
      </c>
      <c r="D281" s="7" t="s">
        <v>620</v>
      </c>
      <c r="E281" s="8" t="n">
        <v>13722</v>
      </c>
      <c r="F281" s="8" t="n">
        <v>11976</v>
      </c>
      <c r="G281" s="8" t="n">
        <v>34592</v>
      </c>
      <c r="H281" s="8" t="n">
        <v>30696</v>
      </c>
      <c r="I281" s="8" t="n">
        <v>16240</v>
      </c>
      <c r="J281" s="8" t="n">
        <v>17097</v>
      </c>
      <c r="K281" s="8" t="n">
        <v>6851</v>
      </c>
      <c r="L281" s="8" t="n">
        <v>3675</v>
      </c>
      <c r="M281" s="8" t="n">
        <v>8317</v>
      </c>
      <c r="N281" s="8" t="n">
        <v>4416</v>
      </c>
      <c r="O281" s="8" t="n">
        <f aca="false">E281+G281+I281+K281+M281</f>
        <v>79722</v>
      </c>
      <c r="P281" s="8" t="n">
        <f aca="false">F281+H281+J281+L281+N281</f>
        <v>67860</v>
      </c>
      <c r="Q281" s="8" t="n">
        <f aca="false">SUM(O281:P281)</f>
        <v>147582</v>
      </c>
      <c r="R281" s="9" t="n">
        <f aca="false">(O281/Q281)*100</f>
        <v>54.0187827783876</v>
      </c>
      <c r="S281" s="9" t="n">
        <f aca="false">(P281/Q281)*100</f>
        <v>45.9812172216124</v>
      </c>
    </row>
    <row r="282" customFormat="false" ht="12.8" hidden="false" customHeight="false" outlineLevel="0" collapsed="false">
      <c r="A282" s="6" t="s">
        <v>121</v>
      </c>
      <c r="B282" s="7" t="s">
        <v>608</v>
      </c>
      <c r="C282" s="6" t="s">
        <v>621</v>
      </c>
      <c r="D282" s="7" t="s">
        <v>622</v>
      </c>
      <c r="E282" s="8" t="n">
        <v>13997</v>
      </c>
      <c r="F282" s="8" t="n">
        <v>12891</v>
      </c>
      <c r="G282" s="8" t="n">
        <v>31574</v>
      </c>
      <c r="H282" s="8" t="n">
        <v>28840</v>
      </c>
      <c r="I282" s="8" t="n">
        <v>15868</v>
      </c>
      <c r="J282" s="8" t="n">
        <v>16725</v>
      </c>
      <c r="K282" s="8" t="n">
        <v>7735</v>
      </c>
      <c r="L282" s="8" t="n">
        <v>4702</v>
      </c>
      <c r="M282" s="8" t="n">
        <v>8929</v>
      </c>
      <c r="N282" s="8" t="n">
        <v>5440</v>
      </c>
      <c r="O282" s="8" t="n">
        <f aca="false">E282+G282+I282+K282+M282</f>
        <v>78103</v>
      </c>
      <c r="P282" s="8" t="n">
        <f aca="false">F282+H282+J282+L282+N282</f>
        <v>68598</v>
      </c>
      <c r="Q282" s="8" t="n">
        <f aca="false">SUM(O282:P282)</f>
        <v>146701</v>
      </c>
      <c r="R282" s="9" t="n">
        <f aca="false">(O282/Q282)*100</f>
        <v>53.2395825522662</v>
      </c>
      <c r="S282" s="9" t="n">
        <f aca="false">(P282/Q282)*100</f>
        <v>46.7604174477338</v>
      </c>
    </row>
    <row r="283" customFormat="false" ht="12.8" hidden="false" customHeight="false" outlineLevel="0" collapsed="false">
      <c r="A283" s="6" t="s">
        <v>121</v>
      </c>
      <c r="B283" s="7" t="s">
        <v>608</v>
      </c>
      <c r="C283" s="6" t="s">
        <v>623</v>
      </c>
      <c r="D283" s="7" t="s">
        <v>624</v>
      </c>
      <c r="E283" s="8" t="n">
        <v>12102</v>
      </c>
      <c r="F283" s="8" t="n">
        <v>12636</v>
      </c>
      <c r="G283" s="8" t="n">
        <v>24314</v>
      </c>
      <c r="H283" s="8" t="n">
        <v>28437</v>
      </c>
      <c r="I283" s="8" t="n">
        <v>9196</v>
      </c>
      <c r="J283" s="8" t="n">
        <v>14454</v>
      </c>
      <c r="K283" s="8" t="n">
        <v>3509</v>
      </c>
      <c r="L283" s="8" t="n">
        <v>1706</v>
      </c>
      <c r="M283" s="8" t="n">
        <v>6599</v>
      </c>
      <c r="N283" s="8" t="n">
        <v>3348</v>
      </c>
      <c r="O283" s="8" t="n">
        <f aca="false">E283+G283+I283+K283+M283</f>
        <v>55720</v>
      </c>
      <c r="P283" s="8" t="n">
        <f aca="false">F283+H283+J283+L283+N283</f>
        <v>60581</v>
      </c>
      <c r="Q283" s="8" t="n">
        <f aca="false">SUM(O283:P283)</f>
        <v>116301</v>
      </c>
      <c r="R283" s="9" t="n">
        <f aca="false">(O283/Q283)*100</f>
        <v>47.9101641430426</v>
      </c>
      <c r="S283" s="9" t="n">
        <f aca="false">(P283/Q283)*100</f>
        <v>52.0898358569574</v>
      </c>
    </row>
    <row r="284" customFormat="false" ht="12.8" hidden="false" customHeight="false" outlineLevel="0" collapsed="false">
      <c r="A284" s="6" t="s">
        <v>121</v>
      </c>
      <c r="B284" s="7" t="s">
        <v>608</v>
      </c>
      <c r="C284" s="6" t="s">
        <v>625</v>
      </c>
      <c r="D284" s="7" t="s">
        <v>626</v>
      </c>
      <c r="E284" s="8" t="n">
        <v>12448</v>
      </c>
      <c r="F284" s="8" t="n">
        <v>15050</v>
      </c>
      <c r="G284" s="8" t="n">
        <v>31978</v>
      </c>
      <c r="H284" s="8" t="n">
        <v>44147</v>
      </c>
      <c r="I284" s="8" t="n">
        <v>11359</v>
      </c>
      <c r="J284" s="8" t="n">
        <v>22354</v>
      </c>
      <c r="K284" s="8" t="n">
        <v>2688</v>
      </c>
      <c r="L284" s="8" t="n">
        <v>870</v>
      </c>
      <c r="M284" s="8" t="n">
        <v>7131</v>
      </c>
      <c r="N284" s="8" t="n">
        <v>2289</v>
      </c>
      <c r="O284" s="8" t="n">
        <f aca="false">E284+G284+I284+K284+M284</f>
        <v>65604</v>
      </c>
      <c r="P284" s="8" t="n">
        <f aca="false">F284+H284+J284+L284+N284</f>
        <v>84710</v>
      </c>
      <c r="Q284" s="8" t="n">
        <f aca="false">SUM(O284:P284)</f>
        <v>150314</v>
      </c>
      <c r="R284" s="9" t="n">
        <f aca="false">(O284/Q284)*100</f>
        <v>43.6446372260734</v>
      </c>
      <c r="S284" s="9" t="n">
        <f aca="false">(P284/Q284)*100</f>
        <v>56.3553627739266</v>
      </c>
    </row>
    <row r="285" customFormat="false" ht="12.8" hidden="false" customHeight="false" outlineLevel="0" collapsed="false">
      <c r="A285" s="6" t="s">
        <v>121</v>
      </c>
      <c r="B285" s="7" t="s">
        <v>608</v>
      </c>
      <c r="C285" s="6" t="s">
        <v>627</v>
      </c>
      <c r="D285" s="7" t="s">
        <v>628</v>
      </c>
      <c r="E285" s="8" t="n">
        <v>9400</v>
      </c>
      <c r="F285" s="8" t="n">
        <v>9214</v>
      </c>
      <c r="G285" s="8" t="n">
        <v>22836</v>
      </c>
      <c r="H285" s="8" t="n">
        <v>21742</v>
      </c>
      <c r="I285" s="8" t="n">
        <v>11393</v>
      </c>
      <c r="J285" s="8" t="n">
        <v>12605</v>
      </c>
      <c r="K285" s="8" t="n">
        <v>4813</v>
      </c>
      <c r="L285" s="8" t="n">
        <v>2284</v>
      </c>
      <c r="M285" s="8" t="n">
        <v>6513</v>
      </c>
      <c r="N285" s="8" t="n">
        <v>3453</v>
      </c>
      <c r="O285" s="8" t="n">
        <f aca="false">E285+G285+I285+K285+M285</f>
        <v>54955</v>
      </c>
      <c r="P285" s="8" t="n">
        <f aca="false">F285+H285+J285+L285+N285</f>
        <v>49298</v>
      </c>
      <c r="Q285" s="8" t="n">
        <f aca="false">SUM(O285:P285)</f>
        <v>104253</v>
      </c>
      <c r="R285" s="9" t="n">
        <f aca="false">(O285/Q285)*100</f>
        <v>52.7131113732938</v>
      </c>
      <c r="S285" s="9" t="n">
        <f aca="false">(P285/Q285)*100</f>
        <v>47.2868886267062</v>
      </c>
    </row>
    <row r="286" customFormat="false" ht="12.8" hidden="false" customHeight="false" outlineLevel="0" collapsed="false">
      <c r="A286" s="6" t="s">
        <v>121</v>
      </c>
      <c r="B286" s="7" t="s">
        <v>608</v>
      </c>
      <c r="C286" s="6" t="s">
        <v>629</v>
      </c>
      <c r="D286" s="7" t="s">
        <v>630</v>
      </c>
      <c r="E286" s="8" t="n">
        <v>11903</v>
      </c>
      <c r="F286" s="8" t="n">
        <v>11347</v>
      </c>
      <c r="G286" s="8" t="n">
        <v>30541</v>
      </c>
      <c r="H286" s="8" t="n">
        <v>28325</v>
      </c>
      <c r="I286" s="8" t="n">
        <v>14849</v>
      </c>
      <c r="J286" s="8" t="n">
        <v>16813</v>
      </c>
      <c r="K286" s="8" t="n">
        <v>5400</v>
      </c>
      <c r="L286" s="8" t="n">
        <v>2203</v>
      </c>
      <c r="M286" s="8" t="n">
        <v>7537</v>
      </c>
      <c r="N286" s="8" t="n">
        <v>3073</v>
      </c>
      <c r="O286" s="8" t="n">
        <f aca="false">E286+G286+I286+K286+M286</f>
        <v>70230</v>
      </c>
      <c r="P286" s="8" t="n">
        <f aca="false">F286+H286+J286+L286+N286</f>
        <v>61761</v>
      </c>
      <c r="Q286" s="8" t="n">
        <f aca="false">SUM(O286:P286)</f>
        <v>131991</v>
      </c>
      <c r="R286" s="9" t="n">
        <f aca="false">(O286/Q286)*100</f>
        <v>53.2081732845421</v>
      </c>
      <c r="S286" s="9" t="n">
        <f aca="false">(P286/Q286)*100</f>
        <v>46.7918267154579</v>
      </c>
    </row>
    <row r="287" customFormat="false" ht="12.8" hidden="false" customHeight="false" outlineLevel="0" collapsed="false">
      <c r="A287" s="6" t="s">
        <v>121</v>
      </c>
      <c r="B287" s="7" t="s">
        <v>608</v>
      </c>
      <c r="C287" s="6" t="s">
        <v>631</v>
      </c>
      <c r="D287" s="7" t="s">
        <v>632</v>
      </c>
      <c r="E287" s="8" t="n">
        <v>12150</v>
      </c>
      <c r="F287" s="8" t="n">
        <v>13286</v>
      </c>
      <c r="G287" s="8" t="n">
        <v>30098</v>
      </c>
      <c r="H287" s="8" t="n">
        <v>32909</v>
      </c>
      <c r="I287" s="8" t="n">
        <v>13996</v>
      </c>
      <c r="J287" s="8" t="n">
        <v>18251</v>
      </c>
      <c r="K287" s="8" t="n">
        <v>5715</v>
      </c>
      <c r="L287" s="8" t="n">
        <v>2676</v>
      </c>
      <c r="M287" s="8" t="n">
        <v>7877</v>
      </c>
      <c r="N287" s="8" t="n">
        <v>3782</v>
      </c>
      <c r="O287" s="8" t="n">
        <f aca="false">E287+G287+I287+K287+M287</f>
        <v>69836</v>
      </c>
      <c r="P287" s="8" t="n">
        <f aca="false">F287+H287+J287+L287+N287</f>
        <v>70904</v>
      </c>
      <c r="Q287" s="8" t="n">
        <f aca="false">SUM(O287:P287)</f>
        <v>140740</v>
      </c>
      <c r="R287" s="9" t="n">
        <f aca="false">(O287/Q287)*100</f>
        <v>49.620576950405</v>
      </c>
      <c r="S287" s="9" t="n">
        <f aca="false">(P287/Q287)*100</f>
        <v>50.379423049595</v>
      </c>
    </row>
    <row r="288" customFormat="false" ht="12.8" hidden="false" customHeight="false" outlineLevel="0" collapsed="false">
      <c r="A288" s="6" t="s">
        <v>121</v>
      </c>
      <c r="B288" s="7" t="s">
        <v>608</v>
      </c>
      <c r="C288" s="6" t="s">
        <v>633</v>
      </c>
      <c r="D288" s="7" t="s">
        <v>634</v>
      </c>
      <c r="E288" s="8" t="n">
        <v>10855</v>
      </c>
      <c r="F288" s="8" t="n">
        <v>9921</v>
      </c>
      <c r="G288" s="8" t="n">
        <v>29158</v>
      </c>
      <c r="H288" s="8" t="n">
        <v>25897</v>
      </c>
      <c r="I288" s="8" t="n">
        <v>14974</v>
      </c>
      <c r="J288" s="8" t="n">
        <v>15784</v>
      </c>
      <c r="K288" s="8" t="n">
        <v>5931</v>
      </c>
      <c r="L288" s="8" t="n">
        <v>3491</v>
      </c>
      <c r="M288" s="8" t="n">
        <v>6880</v>
      </c>
      <c r="N288" s="8" t="n">
        <v>3791</v>
      </c>
      <c r="O288" s="8" t="n">
        <f aca="false">E288+G288+I288+K288+M288</f>
        <v>67798</v>
      </c>
      <c r="P288" s="8" t="n">
        <f aca="false">F288+H288+J288+L288+N288</f>
        <v>58884</v>
      </c>
      <c r="Q288" s="8" t="n">
        <f aca="false">SUM(O288:P288)</f>
        <v>126682</v>
      </c>
      <c r="R288" s="9" t="n">
        <f aca="false">(O288/Q288)*100</f>
        <v>53.5182583160986</v>
      </c>
      <c r="S288" s="9" t="n">
        <f aca="false">(P288/Q288)*100</f>
        <v>46.4817416839014</v>
      </c>
    </row>
    <row r="289" customFormat="false" ht="12.8" hidden="false" customHeight="false" outlineLevel="0" collapsed="false">
      <c r="A289" s="6" t="s">
        <v>121</v>
      </c>
      <c r="B289" s="7" t="s">
        <v>608</v>
      </c>
      <c r="C289" s="6" t="s">
        <v>635</v>
      </c>
      <c r="D289" s="7" t="s">
        <v>636</v>
      </c>
      <c r="E289" s="8" t="n">
        <v>10021</v>
      </c>
      <c r="F289" s="8" t="n">
        <v>10832</v>
      </c>
      <c r="G289" s="8" t="n">
        <v>24644</v>
      </c>
      <c r="H289" s="8" t="n">
        <v>27050</v>
      </c>
      <c r="I289" s="8" t="n">
        <v>12866</v>
      </c>
      <c r="J289" s="8" t="n">
        <v>16634</v>
      </c>
      <c r="K289" s="8" t="n">
        <v>6116</v>
      </c>
      <c r="L289" s="8" t="n">
        <v>4068</v>
      </c>
      <c r="M289" s="8" t="n">
        <v>8473</v>
      </c>
      <c r="N289" s="8" t="n">
        <v>5344</v>
      </c>
      <c r="O289" s="8" t="n">
        <f aca="false">E289+G289+I289+K289+M289</f>
        <v>62120</v>
      </c>
      <c r="P289" s="8" t="n">
        <f aca="false">F289+H289+J289+L289+N289</f>
        <v>63928</v>
      </c>
      <c r="Q289" s="8" t="n">
        <f aca="false">SUM(O289:P289)</f>
        <v>126048</v>
      </c>
      <c r="R289" s="9" t="n">
        <f aca="false">(O289/Q289)*100</f>
        <v>49.2828128966743</v>
      </c>
      <c r="S289" s="9" t="n">
        <f aca="false">(P289/Q289)*100</f>
        <v>50.7171871033257</v>
      </c>
    </row>
    <row r="290" customFormat="false" ht="12.8" hidden="false" customHeight="false" outlineLevel="0" collapsed="false">
      <c r="A290" s="6" t="s">
        <v>121</v>
      </c>
      <c r="B290" s="7" t="s">
        <v>608</v>
      </c>
      <c r="C290" s="6" t="s">
        <v>637</v>
      </c>
      <c r="D290" s="7" t="s">
        <v>638</v>
      </c>
      <c r="E290" s="8" t="n">
        <v>8208</v>
      </c>
      <c r="F290" s="8" t="n">
        <v>12126</v>
      </c>
      <c r="G290" s="8" t="n">
        <v>20406</v>
      </c>
      <c r="H290" s="8" t="n">
        <v>32582</v>
      </c>
      <c r="I290" s="8" t="n">
        <v>9651</v>
      </c>
      <c r="J290" s="8" t="n">
        <v>17618</v>
      </c>
      <c r="K290" s="8" t="n">
        <v>4316</v>
      </c>
      <c r="L290" s="8" t="n">
        <v>2836</v>
      </c>
      <c r="M290" s="8" t="n">
        <v>7791</v>
      </c>
      <c r="N290" s="8" t="n">
        <v>4732</v>
      </c>
      <c r="O290" s="8" t="n">
        <f aca="false">E290+G290+I290+K290+M290</f>
        <v>50372</v>
      </c>
      <c r="P290" s="8" t="n">
        <f aca="false">F290+H290+J290+L290+N290</f>
        <v>69894</v>
      </c>
      <c r="Q290" s="8" t="n">
        <f aca="false">SUM(O290:P290)</f>
        <v>120266</v>
      </c>
      <c r="R290" s="9" t="n">
        <f aca="false">(O290/Q290)*100</f>
        <v>41.8838241897128</v>
      </c>
      <c r="S290" s="9" t="n">
        <f aca="false">(P290/Q290)*100</f>
        <v>58.1161758102872</v>
      </c>
    </row>
    <row r="291" customFormat="false" ht="12.8" hidden="false" customHeight="false" outlineLevel="0" collapsed="false">
      <c r="A291" s="6" t="s">
        <v>121</v>
      </c>
      <c r="B291" s="7" t="s">
        <v>608</v>
      </c>
      <c r="C291" s="6" t="s">
        <v>639</v>
      </c>
      <c r="D291" s="7" t="s">
        <v>640</v>
      </c>
      <c r="E291" s="8" t="n">
        <v>10265</v>
      </c>
      <c r="F291" s="8" t="n">
        <v>15540</v>
      </c>
      <c r="G291" s="8" t="n">
        <v>26022</v>
      </c>
      <c r="H291" s="8" t="n">
        <v>41976</v>
      </c>
      <c r="I291" s="8" t="n">
        <v>13686</v>
      </c>
      <c r="J291" s="8" t="n">
        <v>26235</v>
      </c>
      <c r="K291" s="8" t="n">
        <v>6742</v>
      </c>
      <c r="L291" s="8" t="n">
        <v>3770</v>
      </c>
      <c r="M291" s="8" t="n">
        <v>13971</v>
      </c>
      <c r="N291" s="8" t="n">
        <v>8190</v>
      </c>
      <c r="O291" s="8" t="n">
        <f aca="false">E291+G291+I291+K291+M291</f>
        <v>70686</v>
      </c>
      <c r="P291" s="8" t="n">
        <f aca="false">F291+H291+J291+L291+N291</f>
        <v>95711</v>
      </c>
      <c r="Q291" s="8" t="n">
        <f aca="false">SUM(O291:P291)</f>
        <v>166397</v>
      </c>
      <c r="R291" s="9" t="n">
        <f aca="false">(O291/Q291)*100</f>
        <v>42.4803331790838</v>
      </c>
      <c r="S291" s="9" t="n">
        <f aca="false">(P291/Q291)*100</f>
        <v>57.5196668209162</v>
      </c>
    </row>
    <row r="292" customFormat="false" ht="12.8" hidden="false" customHeight="false" outlineLevel="0" collapsed="false">
      <c r="A292" s="6" t="s">
        <v>121</v>
      </c>
      <c r="B292" s="7" t="s">
        <v>608</v>
      </c>
      <c r="C292" s="6" t="s">
        <v>641</v>
      </c>
      <c r="D292" s="7" t="s">
        <v>642</v>
      </c>
      <c r="E292" s="8" t="n">
        <v>9857</v>
      </c>
      <c r="F292" s="8" t="n">
        <v>11160</v>
      </c>
      <c r="G292" s="8" t="n">
        <v>23368</v>
      </c>
      <c r="H292" s="8" t="n">
        <v>26532</v>
      </c>
      <c r="I292" s="8" t="n">
        <v>10950</v>
      </c>
      <c r="J292" s="8" t="n">
        <v>15037</v>
      </c>
      <c r="K292" s="8" t="n">
        <v>4464</v>
      </c>
      <c r="L292" s="8" t="n">
        <v>2592</v>
      </c>
      <c r="M292" s="8" t="n">
        <v>7495</v>
      </c>
      <c r="N292" s="8" t="n">
        <v>4104</v>
      </c>
      <c r="O292" s="8" t="n">
        <f aca="false">E292+G292+I292+K292+M292</f>
        <v>56134</v>
      </c>
      <c r="P292" s="8" t="n">
        <f aca="false">F292+H292+J292+L292+N292</f>
        <v>59425</v>
      </c>
      <c r="Q292" s="8" t="n">
        <f aca="false">SUM(O292:P292)</f>
        <v>115559</v>
      </c>
      <c r="R292" s="9" t="n">
        <f aca="false">(O292/Q292)*100</f>
        <v>48.5760520599867</v>
      </c>
      <c r="S292" s="9" t="n">
        <f aca="false">(P292/Q292)*100</f>
        <v>51.4239479400133</v>
      </c>
    </row>
    <row r="293" customFormat="false" ht="12.8" hidden="false" customHeight="false" outlineLevel="0" collapsed="false">
      <c r="A293" s="6" t="s">
        <v>123</v>
      </c>
      <c r="B293" s="7" t="s">
        <v>643</v>
      </c>
      <c r="C293" s="6" t="s">
        <v>644</v>
      </c>
      <c r="D293" s="7" t="s">
        <v>643</v>
      </c>
      <c r="E293" s="8" t="n">
        <v>88</v>
      </c>
      <c r="F293" s="8" t="n">
        <v>96</v>
      </c>
      <c r="G293" s="8" t="n">
        <v>606</v>
      </c>
      <c r="H293" s="8" t="n">
        <v>891</v>
      </c>
      <c r="I293" s="8" t="n">
        <v>596</v>
      </c>
      <c r="J293" s="8" t="n">
        <v>1044</v>
      </c>
      <c r="K293" s="8" t="n">
        <v>270</v>
      </c>
      <c r="L293" s="8" t="n">
        <v>63</v>
      </c>
      <c r="M293" s="8" t="n">
        <v>561</v>
      </c>
      <c r="N293" s="8" t="n">
        <v>178</v>
      </c>
      <c r="O293" s="8" t="n">
        <f aca="false">E293+G293+I293+K293+M293</f>
        <v>2121</v>
      </c>
      <c r="P293" s="8" t="n">
        <f aca="false">F293+H293+J293+L293+N293</f>
        <v>2272</v>
      </c>
      <c r="Q293" s="8" t="n">
        <f aca="false">SUM(O293:P293)</f>
        <v>4393</v>
      </c>
      <c r="R293" s="9" t="n">
        <f aca="false">(O293/Q293)*100</f>
        <v>48.281356703847</v>
      </c>
      <c r="S293" s="9" t="n">
        <f aca="false">(P293/Q293)*100</f>
        <v>51.718643296153</v>
      </c>
    </row>
    <row r="294" customFormat="false" ht="12.8" hidden="false" customHeight="false" outlineLevel="0" collapsed="false">
      <c r="A294" s="6" t="s">
        <v>123</v>
      </c>
      <c r="B294" s="6" t="s">
        <v>645</v>
      </c>
      <c r="C294" s="6" t="s">
        <v>646</v>
      </c>
      <c r="D294" s="10" t="s">
        <v>647</v>
      </c>
      <c r="E294" s="8" t="n">
        <v>31</v>
      </c>
      <c r="F294" s="8" t="n">
        <v>488</v>
      </c>
      <c r="G294" s="8" t="n">
        <v>137</v>
      </c>
      <c r="H294" s="8" t="n">
        <v>2104</v>
      </c>
      <c r="I294" s="8" t="n">
        <v>76</v>
      </c>
      <c r="J294" s="8" t="n">
        <v>1583</v>
      </c>
      <c r="K294" s="8" t="n">
        <v>44</v>
      </c>
      <c r="L294" s="8" t="n">
        <v>24</v>
      </c>
      <c r="M294" s="8" t="n">
        <v>676</v>
      </c>
      <c r="N294" s="8" t="n">
        <v>365</v>
      </c>
      <c r="O294" s="8" t="n">
        <f aca="false">E294+G294+I294+K294+M294</f>
        <v>964</v>
      </c>
      <c r="P294" s="8" t="n">
        <f aca="false">F294+H294+J294+L294+N294</f>
        <v>4564</v>
      </c>
      <c r="Q294" s="8" t="n">
        <f aca="false">SUM(O294:P294)</f>
        <v>5528</v>
      </c>
      <c r="R294" s="9" t="n">
        <f aca="false">(O294/Q294)*100</f>
        <v>17.438494934877</v>
      </c>
      <c r="S294" s="9" t="n">
        <f aca="false">(P294/Q294)*100</f>
        <v>82.561505065123</v>
      </c>
    </row>
  </sheetData>
  <mergeCells count="9">
    <mergeCell ref="A1:A2"/>
    <mergeCell ref="B1:B2"/>
    <mergeCell ref="C1:C2"/>
    <mergeCell ref="D1:D2"/>
    <mergeCell ref="O1:O2"/>
    <mergeCell ref="P1:P2"/>
    <mergeCell ref="Q1:Q2"/>
    <mergeCell ref="R1:R2"/>
    <mergeCell ref="S1:S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LibreOffice/6.0.3.2$Linux_X86_64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2019-03-31T11:55:13Z</dcterms:created>
  <dc:creator/>
  <dc:description/>
  <dc:language>en-US</dc:language>
  <cp:lastModifiedBy/>
  <dcterms:modified xsi:type="dcterms:W3CDTF">2019-04-03T10:53:31Z</dcterms:modified>
  <cp:revision>6</cp:revision>
  <dc:subject/>
  <dc:title/>
</cp:coreProperties>
</file>